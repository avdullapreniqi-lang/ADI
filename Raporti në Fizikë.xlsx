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ECAE850-5F98-48F6-8857-180DDF51412A}" xr6:coauthVersionLast="47" xr6:coauthVersionMax="47" xr10:uidLastSave="{00000000-0000-0000-0000-000000000000}"/>
  <bookViews>
    <workbookView xWindow="-108" yWindow="-108" windowWidth="23256" windowHeight="12456" activeTab="2" xr2:uid="{0DA94B24-AF0E-4276-BC11-07F047DEBC0B}"/>
  </bookViews>
  <sheets>
    <sheet name="Mikrometri" sheetId="1" r:id="rId1"/>
    <sheet name="Hedhja e pjerrët" sheetId="2" r:id="rId2"/>
    <sheet name="Ekuivalenti mekanik i nxehtesis" sheetId="3" r:id="rId3"/>
    <sheet name="Ligji i Hukut" sheetId="4" r:id="rId4"/>
    <sheet name="Termokapaciteti specifik" sheetId="5" r:id="rId5"/>
    <sheet name="Matja e gjatësisë me nonius" sheetId="6" r:id="rId6"/>
    <sheet name="Rënia e Lirë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7" l="1"/>
  <c r="E8" i="7"/>
  <c r="E9" i="7"/>
  <c r="E10" i="7"/>
  <c r="E6" i="7"/>
  <c r="D10" i="7"/>
  <c r="D7" i="7"/>
  <c r="D8" i="7"/>
  <c r="D9" i="7"/>
  <c r="D6" i="7"/>
  <c r="H16" i="6"/>
  <c r="G16" i="6"/>
  <c r="F16" i="6"/>
  <c r="H8" i="6"/>
  <c r="G8" i="6"/>
  <c r="F8" i="6"/>
  <c r="M12" i="5"/>
  <c r="M13" i="5"/>
  <c r="M11" i="5"/>
  <c r="L12" i="5"/>
  <c r="L13" i="5"/>
  <c r="L11" i="5"/>
  <c r="G6" i="4"/>
  <c r="G7" i="4"/>
  <c r="G8" i="4"/>
  <c r="G9" i="4"/>
  <c r="G10" i="4"/>
  <c r="G11" i="4"/>
  <c r="G12" i="4"/>
  <c r="G13" i="4"/>
  <c r="G14" i="4"/>
  <c r="G15" i="4"/>
  <c r="G5" i="4"/>
  <c r="E10" i="2"/>
  <c r="E9" i="2"/>
  <c r="E8" i="2"/>
  <c r="E7" i="2"/>
  <c r="E6" i="2"/>
  <c r="D7" i="2"/>
  <c r="D8" i="2"/>
  <c r="D9" i="2"/>
  <c r="D10" i="2"/>
  <c r="D6" i="2"/>
</calcChain>
</file>

<file path=xl/sharedStrings.xml><?xml version="1.0" encoding="utf-8"?>
<sst xmlns="http://schemas.openxmlformats.org/spreadsheetml/2006/main" count="221" uniqueCount="157">
  <si>
    <t>Përcaktimi I densitetit dhe peshës specifike të trupave të vegjël (përdorimi I mikrometrit për matjen e gjatësisë).</t>
  </si>
  <si>
    <t>Matja e gjatësisë së trupave</t>
  </si>
  <si>
    <t>Nr.</t>
  </si>
  <si>
    <t>K</t>
  </si>
  <si>
    <t>n</t>
  </si>
  <si>
    <t>a</t>
  </si>
  <si>
    <t>Lm=L1+L2+L3/3</t>
  </si>
  <si>
    <t>∆L=Lmax-Lm</t>
  </si>
  <si>
    <t>∆L/Lm*100%</t>
  </si>
  <si>
    <t>mm</t>
  </si>
  <si>
    <t>Llogaritja e gjatësisë me formulë</t>
  </si>
  <si>
    <t>1.L=(K+n/m)*(10+45/50)=10.9</t>
  </si>
  <si>
    <t>3.L=(K+n/m)*(10+15/50)=10.3</t>
  </si>
  <si>
    <t>L-Gjatësia e trupit</t>
  </si>
  <si>
    <t>2.L=(K+n/m)*(10+5/50)=10.1</t>
  </si>
  <si>
    <t>Lm-Gjatësia mesatare</t>
  </si>
  <si>
    <t>Lmax-Gjatësia maksimale</t>
  </si>
  <si>
    <t>∆L-Gabimi absolut</t>
  </si>
  <si>
    <t>K-Numri i plotë i ndarjeve të lexuara në shkallën lineare</t>
  </si>
  <si>
    <t>n-Numri i ndarjeve të lexuara në shkallën rrethore në cilindër</t>
  </si>
  <si>
    <t>m-Numri i përgjithshëm i ndarjeve në shkallën rrethore (zakonisht m=50)</t>
  </si>
  <si>
    <t>Përcaktimi i densitetit dhe peshës specifike</t>
  </si>
  <si>
    <t>Materiali</t>
  </si>
  <si>
    <t>m(g)</t>
  </si>
  <si>
    <t>a(mm)</t>
  </si>
  <si>
    <t xml:space="preserve"> V(</t>
  </si>
  <si>
    <t>p(kg/</t>
  </si>
  <si>
    <t>Y(N/</t>
  </si>
  <si>
    <t>Druri</t>
  </si>
  <si>
    <t>Goma</t>
  </si>
  <si>
    <t>Bakri</t>
  </si>
  <si>
    <t>Alumini</t>
  </si>
  <si>
    <t xml:space="preserve">Zinku </t>
  </si>
  <si>
    <t>Hekuri</t>
  </si>
  <si>
    <t>Çeliku</t>
  </si>
  <si>
    <t>Plumbi</t>
  </si>
  <si>
    <t xml:space="preserve">1.12*10    </t>
  </si>
  <si>
    <t>0.89*</t>
  </si>
  <si>
    <t>1.78*</t>
  </si>
  <si>
    <t>8.92*</t>
  </si>
  <si>
    <t>2.67*</t>
  </si>
  <si>
    <t>6.25*</t>
  </si>
  <si>
    <t>8.03*</t>
  </si>
  <si>
    <t>10.7*</t>
  </si>
  <si>
    <t>8.73*</t>
  </si>
  <si>
    <t xml:space="preserve">17.46*   </t>
  </si>
  <si>
    <t xml:space="preserve">81.32*   </t>
  </si>
  <si>
    <t xml:space="preserve">26.19*   </t>
  </si>
  <si>
    <t xml:space="preserve">61.31*   </t>
  </si>
  <si>
    <t xml:space="preserve">78.77*   </t>
  </si>
  <si>
    <t xml:space="preserve">104.96*   </t>
  </si>
  <si>
    <t>Llogaritja e densitetit</t>
  </si>
  <si>
    <t>Zinku</t>
  </si>
  <si>
    <t>p=m/V=1*</t>
  </si>
  <si>
    <t>p=m/V=2*</t>
  </si>
  <si>
    <t>p=m/V=10*</t>
  </si>
  <si>
    <t>p=m/V=3*</t>
  </si>
  <si>
    <t>p=m/V=7*</t>
  </si>
  <si>
    <t>p=m/V=9*</t>
  </si>
  <si>
    <t>p=m/V=12*</t>
  </si>
  <si>
    <t>Kalkulimi I peshës specifike</t>
  </si>
  <si>
    <t>y=p*g=0.89*</t>
  </si>
  <si>
    <t>y=p*g=1.78*</t>
  </si>
  <si>
    <t>y=p*g=8.92*</t>
  </si>
  <si>
    <t>y=p*g=2.67*</t>
  </si>
  <si>
    <t>y=p*g=6.25*</t>
  </si>
  <si>
    <t>y=p*g=8.03*</t>
  </si>
  <si>
    <t>y=p*g=10.7*</t>
  </si>
  <si>
    <t>Hedhja e pjerrët</t>
  </si>
  <si>
    <t>⁰</t>
  </si>
  <si>
    <t>g(m/</t>
  </si>
  <si>
    <t>Distanca Maksimale</t>
  </si>
  <si>
    <t>Lartësia Maksimale</t>
  </si>
  <si>
    <t>Ekuivalenti mekanik I nxehtësisë</t>
  </si>
  <si>
    <t>D-Diametri</t>
  </si>
  <si>
    <t>n-Numri I rrotullimeve</t>
  </si>
  <si>
    <t>T-Temperatura</t>
  </si>
  <si>
    <t>k-Kelvin</t>
  </si>
  <si>
    <t>∆𝑡-Ndryshimi i temperatures</t>
  </si>
  <si>
    <t>49mm</t>
  </si>
  <si>
    <t>45mm</t>
  </si>
  <si>
    <t>298.6K</t>
  </si>
  <si>
    <t>303.0K</t>
  </si>
  <si>
    <t>m-Masa</t>
  </si>
  <si>
    <t>m</t>
  </si>
  <si>
    <t>5kg</t>
  </si>
  <si>
    <t>∆𝑡=</t>
  </si>
  <si>
    <t>∆𝑡=29.8°C-25.4°C</t>
  </si>
  <si>
    <t>∆𝑡=4.4°C</t>
  </si>
  <si>
    <t>∆Q=</t>
  </si>
  <si>
    <t>∆Q=1117.6 J/K</t>
  </si>
  <si>
    <t xml:space="preserve">r = </t>
  </si>
  <si>
    <t>r = 235 *</t>
  </si>
  <si>
    <t>𝜔 = 2</t>
  </si>
  <si>
    <t>𝜔 = 111.784 J</t>
  </si>
  <si>
    <t>Ligji i Hukut</t>
  </si>
  <si>
    <t>m(Kg)</t>
  </si>
  <si>
    <t>F = m * g (N)</t>
  </si>
  <si>
    <t xml:space="preserve">k = </t>
  </si>
  <si>
    <t xml:space="preserve">E= </t>
  </si>
  <si>
    <t>155 mm</t>
  </si>
  <si>
    <t>184 mm</t>
  </si>
  <si>
    <t>213 mm</t>
  </si>
  <si>
    <t>244 mm</t>
  </si>
  <si>
    <t>274 mm</t>
  </si>
  <si>
    <t>305 mm</t>
  </si>
  <si>
    <t>333 mm</t>
  </si>
  <si>
    <t xml:space="preserve">362 mm </t>
  </si>
  <si>
    <t>394 mm</t>
  </si>
  <si>
    <t>420 mm</t>
  </si>
  <si>
    <t>442 mm</t>
  </si>
  <si>
    <t>471 mm</t>
  </si>
  <si>
    <t>k = 3.38</t>
  </si>
  <si>
    <t>k = 3.41</t>
  </si>
  <si>
    <t>k = 3.30</t>
  </si>
  <si>
    <t>k = 3.29</t>
  </si>
  <si>
    <t>k = 3.27</t>
  </si>
  <si>
    <t>k = 3.31</t>
  </si>
  <si>
    <t xml:space="preserve">k = 3.28 </t>
  </si>
  <si>
    <t>k = 3.33</t>
  </si>
  <si>
    <t>E = 0.29</t>
  </si>
  <si>
    <t>E = 0.30</t>
  </si>
  <si>
    <t>Termokapaciteti specifik</t>
  </si>
  <si>
    <t>∆𝑘=kmax-km=3,41-3,33=0.08</t>
  </si>
  <si>
    <t>𝜎𝑘=∆𝑘/km=0.08/3,33=0.02</t>
  </si>
  <si>
    <t>km=k1+k2+k3+k4+k5+k6+k7+k8+k9+k10+k11+k12/12=37,404/12=3,33</t>
  </si>
  <si>
    <t>Formula e termokapacitetit specifik :</t>
  </si>
  <si>
    <t>C-Termokapaciteti i kalorimetrit (C=80J/K)</t>
  </si>
  <si>
    <r>
      <rPr>
        <sz val="12"/>
        <color theme="1"/>
        <rFont val="Calibri"/>
        <family val="2"/>
        <scheme val="minor"/>
      </rPr>
      <t>m</t>
    </r>
    <r>
      <rPr>
        <sz val="8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-Masa e ujit ne kalorimeter (m</t>
    </r>
    <r>
      <rPr>
        <sz val="8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=200g)</t>
    </r>
  </si>
  <si>
    <r>
      <rPr>
        <sz val="12"/>
        <color theme="1"/>
        <rFont val="Calibri"/>
        <family val="2"/>
        <scheme val="minor"/>
      </rPr>
      <t>m</t>
    </r>
    <r>
      <rPr>
        <sz val="8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-Masa e metalit (m</t>
    </r>
    <r>
      <rPr>
        <sz val="8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=180g)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</si>
  <si>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-Uji ne kalorimeter I pa perzier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</si>
  <si>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-Uji I vluar (T</t>
    </r>
    <r>
      <rPr>
        <sz val="8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=100</t>
    </r>
    <r>
      <rPr>
        <sz val="11"/>
        <color theme="1"/>
        <rFont val="Calibri"/>
        <family val="2"/>
        <scheme val="minor"/>
      </rPr>
      <t>℃)</t>
    </r>
  </si>
  <si>
    <r>
      <t>C</t>
    </r>
    <r>
      <rPr>
        <sz val="8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-Termokapaciteti specifik I ujit (C</t>
    </r>
    <r>
      <rPr>
        <sz val="8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=4.19J/gK)</t>
    </r>
  </si>
  <si>
    <r>
      <t>T</t>
    </r>
    <r>
      <rPr>
        <sz val="8"/>
        <color theme="1"/>
        <rFont val="Calibri"/>
        <family val="2"/>
        <scheme val="minor"/>
      </rPr>
      <t>m</t>
    </r>
    <r>
      <rPr>
        <sz val="12"/>
        <color theme="1"/>
        <rFont val="Calibri"/>
        <family val="2"/>
        <scheme val="minor"/>
      </rPr>
      <t>-Temperatura e ujit ne kalorimeter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</si>
  <si>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(℃)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</si>
  <si>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m</t>
    </r>
    <r>
      <rPr>
        <sz val="12"/>
        <color theme="1"/>
        <rFont val="Calibri"/>
        <family val="2"/>
        <scheme val="minor"/>
      </rPr>
      <t>(℃)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</si>
  <si>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m</t>
    </r>
    <r>
      <rPr>
        <sz val="12"/>
        <color theme="1"/>
        <rFont val="Calibri"/>
        <family val="2"/>
        <scheme val="minor"/>
      </rPr>
      <t>-T</t>
    </r>
    <r>
      <rPr>
        <sz val="11"/>
        <color theme="1"/>
        <rFont val="Calibri"/>
        <family val="2"/>
        <scheme val="minor"/>
      </rPr>
      <t>1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</si>
  <si>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-T</t>
    </r>
    <r>
      <rPr>
        <sz val="8"/>
        <color theme="1"/>
        <rFont val="Calibri"/>
        <family val="2"/>
        <scheme val="minor"/>
      </rPr>
      <t>m</t>
    </r>
  </si>
  <si>
    <t>C</t>
  </si>
  <si>
    <t>Fe</t>
  </si>
  <si>
    <t>Zn+Cu</t>
  </si>
  <si>
    <t>Al</t>
  </si>
  <si>
    <t>Matja e gjatësisë së trupave me nonius</t>
  </si>
  <si>
    <t>Matja e trashësisë së trupit me nonius</t>
  </si>
  <si>
    <t>k</t>
  </si>
  <si>
    <t>L</t>
  </si>
  <si>
    <t>1.L=(k+n/m)=(30+20/20)=31</t>
  </si>
  <si>
    <t>2.L=(k+n/m)=(26+26/20)=26.3</t>
  </si>
  <si>
    <t>3.L=(k+n/m)=(28+28/20)=28.9</t>
  </si>
  <si>
    <t>Matja e gjatësisë së trupit me nonius</t>
  </si>
  <si>
    <t>1.L=(k+n/m)=(149+4/20)=140.2</t>
  </si>
  <si>
    <t>1.L=(k+n/m)=(140+28/20)=140.9</t>
  </si>
  <si>
    <t>1.L=(k+n/m)=(140+12/20)=140.6</t>
  </si>
  <si>
    <t>Rënia e lirë</t>
  </si>
  <si>
    <t>h(cm)</t>
  </si>
  <si>
    <t>h(m)</t>
  </si>
  <si>
    <t>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</si>
</sst>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7" xfId="0" applyBorder="1"/>
    <xf numFmtId="0" fontId="4" fillId="0" borderId="0" xfId="0" applyFont="1"/>
    <xf numFmtId="0" fontId="0" fillId="0" borderId="1" xfId="0" quotePrefix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0" fillId="2" borderId="0" xfId="0" applyFill="1"/>
    <xf numFmtId="0" fontId="7" fillId="2" borderId="0" xfId="0" applyFont="1" applyFill="1"/>
    <xf numFmtId="0" fontId="0" fillId="0" borderId="16" xfId="0" applyBorder="1"/>
    <xf numFmtId="0" fontId="2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53994373457811"/>
          <c:y val="0.18429217759119074"/>
          <c:w val="0.80738654743040095"/>
          <c:h val="0.590529398110950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'Hedhja e pjerrët'!$A$6:$A$10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55</c:v>
                </c:pt>
                <c:pt idx="4">
                  <c:v>90</c:v>
                </c:pt>
              </c:numCache>
            </c:numRef>
          </c:xVal>
          <c:yVal>
            <c:numRef>
              <c:f>'Hedhja e pjerrët'!$D$6:$D$10</c:f>
              <c:numCache>
                <c:formatCode>General</c:formatCode>
                <c:ptCount val="5"/>
                <c:pt idx="0">
                  <c:v>0</c:v>
                </c:pt>
                <c:pt idx="1">
                  <c:v>0.32877177475669517</c:v>
                </c:pt>
                <c:pt idx="2">
                  <c:v>0.92101492712973176</c:v>
                </c:pt>
                <c:pt idx="3">
                  <c:v>0.95046891230868247</c:v>
                </c:pt>
                <c:pt idx="4">
                  <c:v>1.2470787371391964E-16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CA-404E-B492-D89646333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85631"/>
        <c:axId val="111486111"/>
      </c:scatterChart>
      <c:valAx>
        <c:axId val="11148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6111"/>
        <c:crosses val="autoZero"/>
        <c:crossBetween val="midCat"/>
      </c:valAx>
      <c:valAx>
        <c:axId val="11148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19215633101214"/>
          <c:y val="0.14877657440834338"/>
          <c:w val="0.76818545744512567"/>
          <c:h val="0.597720546664518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'Hedhja e pjerrët'!$A$6:$A$10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55</c:v>
                </c:pt>
                <c:pt idx="4">
                  <c:v>90</c:v>
                </c:pt>
              </c:numCache>
            </c:numRef>
          </c:xVal>
          <c:yVal>
            <c:numRef>
              <c:f>'Hedhja e pjerrët'!$E$6:$E$10</c:f>
              <c:numCache>
                <c:formatCode>General</c:formatCode>
                <c:ptCount val="5"/>
                <c:pt idx="0">
                  <c:v>0</c:v>
                </c:pt>
                <c:pt idx="1">
                  <c:v>2.9915784969577364E-2</c:v>
                </c:pt>
                <c:pt idx="2">
                  <c:v>0.13293705402650355</c:v>
                </c:pt>
                <c:pt idx="3">
                  <c:v>0.33935257064599761</c:v>
                </c:pt>
                <c:pt idx="4">
                  <c:v>0.50895005096839963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6-49B8-AEFA-E8771574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53231"/>
        <c:axId val="77654191"/>
      </c:scatterChart>
      <c:valAx>
        <c:axId val="7765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4191"/>
        <c:crosses val="autoZero"/>
        <c:crossBetween val="midCat"/>
      </c:valAx>
      <c:valAx>
        <c:axId val="776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Ligji</a:t>
            </a:r>
            <a:r>
              <a:rPr lang="en-US" baseline="0"/>
              <a:t>  i Hukut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'Ligji i Hukut'!$G$5:$G$15</c:f>
              <c:numCache>
                <c:formatCode>General</c:formatCode>
                <c:ptCount val="11"/>
                <c:pt idx="0">
                  <c:v>9.8100000000000007E-2</c:v>
                </c:pt>
                <c:pt idx="1">
                  <c:v>0.19620000000000001</c:v>
                </c:pt>
                <c:pt idx="2">
                  <c:v>0.29430000000000001</c:v>
                </c:pt>
                <c:pt idx="3">
                  <c:v>0.39240000000000003</c:v>
                </c:pt>
                <c:pt idx="4">
                  <c:v>0.49050000000000005</c:v>
                </c:pt>
                <c:pt idx="5">
                  <c:v>0.58860000000000001</c:v>
                </c:pt>
                <c:pt idx="6">
                  <c:v>0.68670000000000009</c:v>
                </c:pt>
                <c:pt idx="7">
                  <c:v>0.78480000000000005</c:v>
                </c:pt>
                <c:pt idx="8">
                  <c:v>0.88290000000000002</c:v>
                </c:pt>
                <c:pt idx="9">
                  <c:v>0.98100000000000009</c:v>
                </c:pt>
                <c:pt idx="10">
                  <c:v>1.0791000000000002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C-439F-A9E7-DBD5C97C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55103"/>
        <c:axId val="98954143"/>
      </c:scatterChart>
      <c:valAx>
        <c:axId val="9895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4143"/>
        <c:crosses val="autoZero"/>
        <c:crossBetween val="midCat"/>
      </c:valAx>
      <c:valAx>
        <c:axId val="9895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5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Rënia</a:t>
            </a:r>
            <a:r>
              <a:rPr lang="en-US" baseline="0"/>
              <a:t> e lirë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'Rënia e Lirë'!$E$6:$E$10</c:f>
              <c:numCache>
                <c:formatCode>General</c:formatCode>
                <c:ptCount val="5"/>
                <c:pt idx="0">
                  <c:v>34.661371473797267</c:v>
                </c:pt>
                <c:pt idx="1">
                  <c:v>31.150203222528663</c:v>
                </c:pt>
                <c:pt idx="2">
                  <c:v>30.895691609977323</c:v>
                </c:pt>
                <c:pt idx="3">
                  <c:v>29.045386275913682</c:v>
                </c:pt>
                <c:pt idx="4">
                  <c:v>23.491292767120658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4-4D45-861E-074B762AD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165823"/>
        <c:axId val="1041168223"/>
      </c:scatterChart>
      <c:valAx>
        <c:axId val="104116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68223"/>
        <c:crosses val="autoZero"/>
        <c:crossBetween val="midCat"/>
      </c:valAx>
      <c:valAx>
        <c:axId val="10411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6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121920</xdr:colOff>
      <xdr:row>11</xdr:row>
      <xdr:rowOff>11430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43CF2B-CABB-4B5C-AE88-811F85DC365F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9</xdr:col>
      <xdr:colOff>121920</xdr:colOff>
      <xdr:row>11</xdr:row>
      <xdr:rowOff>11430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9716B8-A21C-FE32-BFFD-002921ED9FC4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9</xdr:col>
      <xdr:colOff>121920</xdr:colOff>
      <xdr:row>11</xdr:row>
      <xdr:rowOff>11430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DEDFF1-0A68-5B62-8F24-C57140E78A73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3</xdr:col>
      <xdr:colOff>213360</xdr:colOff>
      <xdr:row>14</xdr:row>
      <xdr:rowOff>80010</xdr:rowOff>
    </xdr:from>
    <xdr:ext cx="22884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540E1A8-D4E6-5A7E-EF70-FB071989B0DA}"/>
                </a:ext>
              </a:extLst>
            </xdr:cNvPr>
            <xdr:cNvSpPr txBox="1"/>
          </xdr:nvSpPr>
          <xdr:spPr>
            <a:xfrm>
              <a:off x="2042160" y="2716530"/>
              <a:ext cx="2288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)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540E1A8-D4E6-5A7E-EF70-FB071989B0DA}"/>
                </a:ext>
              </a:extLst>
            </xdr:cNvPr>
            <xdr:cNvSpPr txBox="1"/>
          </xdr:nvSpPr>
          <xdr:spPr>
            <a:xfrm>
              <a:off x="2042160" y="2716530"/>
              <a:ext cx="2288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r>
                <a:rPr lang="en-US" sz="1100" kern="1200"/>
                <a:t>)</a:t>
              </a:r>
            </a:p>
          </xdr:txBody>
        </xdr:sp>
      </mc:Fallback>
    </mc:AlternateContent>
    <xdr:clientData/>
  </xdr:oneCellAnchor>
  <xdr:oneCellAnchor>
    <xdr:from>
      <xdr:col>4</xdr:col>
      <xdr:colOff>350520</xdr:colOff>
      <xdr:row>14</xdr:row>
      <xdr:rowOff>72390</xdr:rowOff>
    </xdr:from>
    <xdr:ext cx="22884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A7E91-CDC7-ABE1-C17B-3971E01912AB}"/>
                </a:ext>
              </a:extLst>
            </xdr:cNvPr>
            <xdr:cNvSpPr txBox="1"/>
          </xdr:nvSpPr>
          <xdr:spPr>
            <a:xfrm>
              <a:off x="2788920" y="2708910"/>
              <a:ext cx="2288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)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A7E91-CDC7-ABE1-C17B-3971E01912AB}"/>
                </a:ext>
              </a:extLst>
            </xdr:cNvPr>
            <xdr:cNvSpPr txBox="1"/>
          </xdr:nvSpPr>
          <xdr:spPr>
            <a:xfrm>
              <a:off x="2788920" y="2708910"/>
              <a:ext cx="2288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r>
                <a:rPr lang="en-US" sz="1100" kern="1200"/>
                <a:t>)</a:t>
              </a:r>
            </a:p>
          </xdr:txBody>
        </xdr:sp>
      </mc:Fallback>
    </mc:AlternateContent>
    <xdr:clientData/>
  </xdr:oneCellAnchor>
  <xdr:oneCellAnchor>
    <xdr:from>
      <xdr:col>5</xdr:col>
      <xdr:colOff>312420</xdr:colOff>
      <xdr:row>14</xdr:row>
      <xdr:rowOff>87630</xdr:rowOff>
    </xdr:from>
    <xdr:ext cx="22884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C76F6B-D10B-5B2C-F3BF-18F6CB8AFB0D}"/>
                </a:ext>
              </a:extLst>
            </xdr:cNvPr>
            <xdr:cNvSpPr txBox="1"/>
          </xdr:nvSpPr>
          <xdr:spPr>
            <a:xfrm>
              <a:off x="3870960" y="2724150"/>
              <a:ext cx="2288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)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C76F6B-D10B-5B2C-F3BF-18F6CB8AFB0D}"/>
                </a:ext>
              </a:extLst>
            </xdr:cNvPr>
            <xdr:cNvSpPr txBox="1"/>
          </xdr:nvSpPr>
          <xdr:spPr>
            <a:xfrm>
              <a:off x="3870960" y="2724150"/>
              <a:ext cx="2288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r>
                <a:rPr lang="en-US" sz="1100" kern="1200"/>
                <a:t>)</a:t>
              </a:r>
            </a:p>
          </xdr:txBody>
        </xdr:sp>
      </mc:Fallback>
    </mc:AlternateContent>
    <xdr:clientData/>
  </xdr:oneCellAnchor>
  <xdr:oneCellAnchor>
    <xdr:from>
      <xdr:col>3</xdr:col>
      <xdr:colOff>563880</xdr:colOff>
      <xdr:row>18</xdr:row>
      <xdr:rowOff>91440</xdr:rowOff>
    </xdr:from>
    <xdr:ext cx="289560" cy="1275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DD7A6C8-D186-7572-EBE8-E555AF428E9C}"/>
                </a:ext>
              </a:extLst>
            </xdr:cNvPr>
            <xdr:cNvSpPr txBox="1"/>
          </xdr:nvSpPr>
          <xdr:spPr>
            <a:xfrm>
              <a:off x="2392680" y="3657600"/>
              <a:ext cx="289560" cy="127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8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8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800" b="0" i="1" kern="1200">
                            <a:latin typeface="Cambria Math" panose="02040503050406030204" pitchFamily="18" charset="0"/>
                          </a:rPr>
                          <m:t>−6</m:t>
                        </m:r>
                      </m:sup>
                    </m:sSup>
                  </m:oMath>
                </m:oMathPara>
              </a14:m>
              <a:endParaRPr lang="en-US" sz="8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DD7A6C8-D186-7572-EBE8-E555AF428E9C}"/>
                </a:ext>
              </a:extLst>
            </xdr:cNvPr>
            <xdr:cNvSpPr txBox="1"/>
          </xdr:nvSpPr>
          <xdr:spPr>
            <a:xfrm>
              <a:off x="2392680" y="3657600"/>
              <a:ext cx="289560" cy="127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800" b="0" i="0" kern="1200">
                  <a:latin typeface="Cambria Math" panose="02040503050406030204" pitchFamily="18" charset="0"/>
                </a:rPr>
                <a:t>10^(−6)</a:t>
              </a:r>
              <a:endParaRPr lang="en-US" sz="800" kern="1200"/>
            </a:p>
          </xdr:txBody>
        </xdr:sp>
      </mc:Fallback>
    </mc:AlternateContent>
    <xdr:clientData/>
  </xdr:oneCellAnchor>
  <xdr:oneCellAnchor>
    <xdr:from>
      <xdr:col>7</xdr:col>
      <xdr:colOff>579120</xdr:colOff>
      <xdr:row>10</xdr:row>
      <xdr:rowOff>163830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16794AA-C70B-68DF-776F-B2857BCD09A3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4</xdr:col>
      <xdr:colOff>320040</xdr:colOff>
      <xdr:row>15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4E41C56-7C79-7022-529F-C67925EE78B4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4E41C56-7C79-7022-529F-C67925EE78B4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320040</xdr:colOff>
      <xdr:row>16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3A763B2-41A0-47D6-BF5F-E5D0C10187CC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3A763B2-41A0-47D6-BF5F-E5D0C10187CC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320040</xdr:colOff>
      <xdr:row>17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5476976-C533-40F6-9DDE-1C6BE320C8A7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5476976-C533-40F6-9DDE-1C6BE320C8A7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320040</xdr:colOff>
      <xdr:row>18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24B313-4013-4471-9C7C-191E45642437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24B313-4013-4471-9C7C-191E45642437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320040</xdr:colOff>
      <xdr:row>19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AC02F96-1EB6-44E6-BA24-EE9BB3749AFB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AC02F96-1EB6-44E6-BA24-EE9BB3749AFB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320040</xdr:colOff>
      <xdr:row>20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B301553-6067-4748-B0A7-6A280632B50E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B301553-6067-4748-B0A7-6A280632B50E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320040</xdr:colOff>
      <xdr:row>21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7136528-4682-4DB4-BE09-A9899E69E382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7136528-4682-4DB4-BE09-A9899E69E382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320040</xdr:colOff>
      <xdr:row>22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194F86E-61C9-41DF-8068-FD2093EDD593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194F86E-61C9-41DF-8068-FD2093EDD593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320040</xdr:colOff>
      <xdr:row>15</xdr:row>
      <xdr:rowOff>3810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A804350-2FC7-429D-AB16-FE3E97BD0659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A804350-2FC7-429D-AB16-FE3E97BD0659}"/>
                </a:ext>
              </a:extLst>
            </xdr:cNvPr>
            <xdr:cNvSpPr txBox="1"/>
          </xdr:nvSpPr>
          <xdr:spPr>
            <a:xfrm>
              <a:off x="3009900" y="299847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15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000ED40-7DC2-4C2D-AE92-D5ACE203EE1A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000ED40-7DC2-4C2D-AE92-D5ACE203EE1A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320040</xdr:colOff>
      <xdr:row>22</xdr:row>
      <xdr:rowOff>3810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33C89B4-6645-468B-8121-EB4E30F72C44}"/>
            </a:ext>
          </a:extLst>
        </xdr:cNvPr>
        <xdr:cNvSpPr txBox="1"/>
      </xdr:nvSpPr>
      <xdr:spPr>
        <a:xfrm>
          <a:off x="4130040" y="4331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5</xdr:col>
      <xdr:colOff>396240</xdr:colOff>
      <xdr:row>16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F69C123-F1B3-4B32-99EC-7C20FED20979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F69C123-F1B3-4B32-99EC-7C20FED20979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17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2D1F3CE3-535C-4B61-9558-E83B6E93BA4C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2D1F3CE3-535C-4B61-9558-E83B6E93BA4C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18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287892F9-572F-41C5-B315-9A876594A6BD}"/>
                </a:ext>
              </a:extLst>
            </xdr:cNvPr>
            <xdr:cNvSpPr txBox="1"/>
          </xdr:nvSpPr>
          <xdr:spPr>
            <a:xfrm>
              <a:off x="4206240" y="33718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287892F9-572F-41C5-B315-9A876594A6BD}"/>
                </a:ext>
              </a:extLst>
            </xdr:cNvPr>
            <xdr:cNvSpPr txBox="1"/>
          </xdr:nvSpPr>
          <xdr:spPr>
            <a:xfrm>
              <a:off x="4206240" y="33718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18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E138223-6DC2-4ECB-B792-E02BEE9F424E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E138223-6DC2-4ECB-B792-E02BEE9F424E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19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4490A3B-D9C7-4221-98C5-7159F9F755A0}"/>
                </a:ext>
              </a:extLst>
            </xdr:cNvPr>
            <xdr:cNvSpPr txBox="1"/>
          </xdr:nvSpPr>
          <xdr:spPr>
            <a:xfrm>
              <a:off x="4206240" y="33718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4490A3B-D9C7-4221-98C5-7159F9F755A0}"/>
                </a:ext>
              </a:extLst>
            </xdr:cNvPr>
            <xdr:cNvSpPr txBox="1"/>
          </xdr:nvSpPr>
          <xdr:spPr>
            <a:xfrm>
              <a:off x="4206240" y="33718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19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5EAA806-BA91-4A5D-BD9D-AFE6896BD798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5EAA806-BA91-4A5D-BD9D-AFE6896BD798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20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8C6E16C6-17BE-42D9-9E7C-453DFD4196FC}"/>
                </a:ext>
              </a:extLst>
            </xdr:cNvPr>
            <xdr:cNvSpPr txBox="1"/>
          </xdr:nvSpPr>
          <xdr:spPr>
            <a:xfrm>
              <a:off x="4206240" y="33718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8C6E16C6-17BE-42D9-9E7C-453DFD4196FC}"/>
                </a:ext>
              </a:extLst>
            </xdr:cNvPr>
            <xdr:cNvSpPr txBox="1"/>
          </xdr:nvSpPr>
          <xdr:spPr>
            <a:xfrm>
              <a:off x="4206240" y="33718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20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E764A176-78B3-4515-A017-EA5EF412C8B3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E764A176-78B3-4515-A017-EA5EF412C8B3}"/>
                </a:ext>
              </a:extLst>
            </xdr:cNvPr>
            <xdr:cNvSpPr txBox="1"/>
          </xdr:nvSpPr>
          <xdr:spPr>
            <a:xfrm>
              <a:off x="4206240" y="3181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457200</xdr:colOff>
      <xdr:row>21</xdr:row>
      <xdr:rowOff>186690</xdr:rowOff>
    </xdr:from>
    <xdr:ext cx="25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2420C4AA-4C95-45BB-B154-65F2FAD547D2}"/>
                </a:ext>
              </a:extLst>
            </xdr:cNvPr>
            <xdr:cNvSpPr txBox="1"/>
          </xdr:nvSpPr>
          <xdr:spPr>
            <a:xfrm>
              <a:off x="4267200" y="4324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2420C4AA-4C95-45BB-B154-65F2FAD547D2}"/>
                </a:ext>
              </a:extLst>
            </xdr:cNvPr>
            <xdr:cNvSpPr txBox="1"/>
          </xdr:nvSpPr>
          <xdr:spPr>
            <a:xfrm>
              <a:off x="4267200" y="4324350"/>
              <a:ext cx="25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457200</xdr:colOff>
      <xdr:row>21</xdr:row>
      <xdr:rowOff>179070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B80E8DF-A6F1-4ED1-9EF5-ED5CCAF8F5E4}"/>
            </a:ext>
          </a:extLst>
        </xdr:cNvPr>
        <xdr:cNvSpPr txBox="1"/>
      </xdr:nvSpPr>
      <xdr:spPr>
        <a:xfrm>
          <a:off x="4267200" y="43167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5</xdr:col>
      <xdr:colOff>396240</xdr:colOff>
      <xdr:row>22</xdr:row>
      <xdr:rowOff>186690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1CD6F87-D118-4462-A7D8-224B08CEA92C}"/>
            </a:ext>
          </a:extLst>
        </xdr:cNvPr>
        <xdr:cNvSpPr txBox="1"/>
      </xdr:nvSpPr>
      <xdr:spPr>
        <a:xfrm>
          <a:off x="4206240" y="451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9</xdr:col>
      <xdr:colOff>22860</xdr:colOff>
      <xdr:row>15</xdr:row>
      <xdr:rowOff>3810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B66123DA-BF2C-F579-224E-B00C31A27D07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B66123DA-BF2C-F579-224E-B00C31A27D07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76200</xdr:colOff>
      <xdr:row>15</xdr:row>
      <xdr:rowOff>3810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53B46358-525A-9996-6949-3EC21BD50609}"/>
                </a:ext>
              </a:extLst>
            </xdr:cNvPr>
            <xdr:cNvSpPr txBox="1"/>
          </xdr:nvSpPr>
          <xdr:spPr>
            <a:xfrm>
              <a:off x="7978140" y="30060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=0.89*</a:t>
              </a:r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53B46358-525A-9996-6949-3EC21BD50609}"/>
                </a:ext>
              </a:extLst>
            </xdr:cNvPr>
            <xdr:cNvSpPr txBox="1"/>
          </xdr:nvSpPr>
          <xdr:spPr>
            <a:xfrm>
              <a:off x="7978140" y="30060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=0.89*</a:t>
              </a:r>
            </a:p>
          </xdr:txBody>
        </xdr:sp>
      </mc:Fallback>
    </mc:AlternateContent>
    <xdr:clientData/>
  </xdr:oneCellAnchor>
  <xdr:oneCellAnchor>
    <xdr:from>
      <xdr:col>10</xdr:col>
      <xdr:colOff>762000</xdr:colOff>
      <xdr:row>14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0A5AEC0-1130-3879-8172-DCDFF2BE0B9E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0A5AEC0-1130-3879-8172-DCDFF2BE0B9E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14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6B26204A-B085-2AE6-E70B-E91117B95DAA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6B26204A-B085-2AE6-E70B-E91117B95DAA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22860</xdr:colOff>
      <xdr:row>16</xdr:row>
      <xdr:rowOff>3810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79AF69A-0134-41B0-9930-664CA5F662C6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79AF69A-0134-41B0-9930-664CA5F662C6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76200</xdr:colOff>
      <xdr:row>16</xdr:row>
      <xdr:rowOff>3810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5D4D5339-BB2C-4825-812F-6799054392F5}"/>
                </a:ext>
              </a:extLst>
            </xdr:cNvPr>
            <xdr:cNvSpPr txBox="1"/>
          </xdr:nvSpPr>
          <xdr:spPr>
            <a:xfrm>
              <a:off x="7978140" y="31965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=1.78*</a:t>
              </a: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5D4D5339-BB2C-4825-812F-6799054392F5}"/>
                </a:ext>
              </a:extLst>
            </xdr:cNvPr>
            <xdr:cNvSpPr txBox="1"/>
          </xdr:nvSpPr>
          <xdr:spPr>
            <a:xfrm>
              <a:off x="7978140" y="31965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=1.78*</a:t>
              </a:r>
            </a:p>
          </xdr:txBody>
        </xdr:sp>
      </mc:Fallback>
    </mc:AlternateContent>
    <xdr:clientData/>
  </xdr:oneCellAnchor>
  <xdr:oneCellAnchor>
    <xdr:from>
      <xdr:col>10</xdr:col>
      <xdr:colOff>762000</xdr:colOff>
      <xdr:row>15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8F4AA15-CE80-4289-B4DA-5B69179B4A39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8F4AA15-CE80-4289-B4DA-5B69179B4A39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15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F676BBEA-0556-455C-BF4F-0DF46A17770D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F676BBEA-0556-455C-BF4F-0DF46A17770D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99060</xdr:colOff>
      <xdr:row>16</xdr:row>
      <xdr:rowOff>186690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79B41E0F-5FB5-4F01-9F99-33189C65E95C}"/>
                </a:ext>
              </a:extLst>
            </xdr:cNvPr>
            <xdr:cNvSpPr txBox="1"/>
          </xdr:nvSpPr>
          <xdr:spPr>
            <a:xfrm>
              <a:off x="7391400" y="337947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79B41E0F-5FB5-4F01-9F99-33189C65E95C}"/>
                </a:ext>
              </a:extLst>
            </xdr:cNvPr>
            <xdr:cNvSpPr txBox="1"/>
          </xdr:nvSpPr>
          <xdr:spPr>
            <a:xfrm>
              <a:off x="7391400" y="337947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152400</xdr:colOff>
      <xdr:row>16</xdr:row>
      <xdr:rowOff>179070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DF3C1A3-189E-4D7C-8312-AC9B1D7BA46B}"/>
                </a:ext>
              </a:extLst>
            </xdr:cNvPr>
            <xdr:cNvSpPr txBox="1"/>
          </xdr:nvSpPr>
          <xdr:spPr>
            <a:xfrm>
              <a:off x="8054340" y="337185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=8.92*</a:t>
              </a: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DF3C1A3-189E-4D7C-8312-AC9B1D7BA46B}"/>
                </a:ext>
              </a:extLst>
            </xdr:cNvPr>
            <xdr:cNvSpPr txBox="1"/>
          </xdr:nvSpPr>
          <xdr:spPr>
            <a:xfrm>
              <a:off x="8054340" y="337185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=8.92*</a:t>
              </a:r>
            </a:p>
          </xdr:txBody>
        </xdr:sp>
      </mc:Fallback>
    </mc:AlternateContent>
    <xdr:clientData/>
  </xdr:oneCellAnchor>
  <xdr:oneCellAnchor>
    <xdr:from>
      <xdr:col>11</xdr:col>
      <xdr:colOff>15240</xdr:colOff>
      <xdr:row>16</xdr:row>
      <xdr:rowOff>179070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F25C4B61-E2B3-4ADB-816D-14363F9589FB}"/>
                </a:ext>
              </a:extLst>
            </xdr:cNvPr>
            <xdr:cNvSpPr txBox="1"/>
          </xdr:nvSpPr>
          <xdr:spPr>
            <a:xfrm>
              <a:off x="8740140" y="337185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F25C4B61-E2B3-4ADB-816D-14363F9589FB}"/>
                </a:ext>
              </a:extLst>
            </xdr:cNvPr>
            <xdr:cNvSpPr txBox="1"/>
          </xdr:nvSpPr>
          <xdr:spPr>
            <a:xfrm>
              <a:off x="8740140" y="337185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449580</xdr:colOff>
      <xdr:row>16</xdr:row>
      <xdr:rowOff>179070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49C3BA5-4815-44E7-AA72-076763163348}"/>
                </a:ext>
              </a:extLst>
            </xdr:cNvPr>
            <xdr:cNvSpPr txBox="1"/>
          </xdr:nvSpPr>
          <xdr:spPr>
            <a:xfrm>
              <a:off x="9174480" y="337185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49C3BA5-4815-44E7-AA72-076763163348}"/>
                </a:ext>
              </a:extLst>
            </xdr:cNvPr>
            <xdr:cNvSpPr txBox="1"/>
          </xdr:nvSpPr>
          <xdr:spPr>
            <a:xfrm>
              <a:off x="9174480" y="337185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762000</xdr:colOff>
      <xdr:row>17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2DB1069A-DEC6-4F26-A93F-8C41D4C9AF6D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2DB1069A-DEC6-4F26-A93F-8C41D4C9AF6D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17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39AF684B-87DF-41B4-8C4F-27CA7DCC515E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39AF684B-87DF-41B4-8C4F-27CA7DCC515E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22860</xdr:colOff>
      <xdr:row>18</xdr:row>
      <xdr:rowOff>3810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F556073D-E142-43DC-BB9A-3D99894D13E1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F556073D-E142-43DC-BB9A-3D99894D13E1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76200</xdr:colOff>
      <xdr:row>18</xdr:row>
      <xdr:rowOff>3810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D9D8C8FC-578D-47A4-AB7A-16DB7A694211}"/>
                </a:ext>
              </a:extLst>
            </xdr:cNvPr>
            <xdr:cNvSpPr txBox="1"/>
          </xdr:nvSpPr>
          <xdr:spPr>
            <a:xfrm>
              <a:off x="7978140" y="35775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=2.67*</a:t>
              </a: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D9D8C8FC-578D-47A4-AB7A-16DB7A694211}"/>
                </a:ext>
              </a:extLst>
            </xdr:cNvPr>
            <xdr:cNvSpPr txBox="1"/>
          </xdr:nvSpPr>
          <xdr:spPr>
            <a:xfrm>
              <a:off x="7978140" y="35775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=2.67*</a:t>
              </a:r>
            </a:p>
          </xdr:txBody>
        </xdr:sp>
      </mc:Fallback>
    </mc:AlternateContent>
    <xdr:clientData/>
  </xdr:oneCellAnchor>
  <xdr:oneCellAnchor>
    <xdr:from>
      <xdr:col>10</xdr:col>
      <xdr:colOff>762000</xdr:colOff>
      <xdr:row>17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379118A-D689-4AEA-8E8D-E5A2CA1FFE11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379118A-D689-4AEA-8E8D-E5A2CA1FFE11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17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5217D6A4-F4A6-4486-A038-45E158FDF529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5217D6A4-F4A6-4486-A038-45E158FDF529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762000</xdr:colOff>
      <xdr:row>18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1DFF9A4C-4C41-4C41-A565-DD3A7C994FF1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1DFF9A4C-4C41-4C41-A565-DD3A7C994FF1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18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27E5701-F1A3-4804-9077-29B46D71C606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27E5701-F1A3-4804-9077-29B46D71C606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22860</xdr:colOff>
      <xdr:row>19</xdr:row>
      <xdr:rowOff>3810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0F062344-1088-4C4B-AAA9-1AE482596509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0F062344-1088-4C4B-AAA9-1AE482596509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76200</xdr:colOff>
      <xdr:row>19</xdr:row>
      <xdr:rowOff>3810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F3FF123C-14FF-473D-81CA-FB24743B6559}"/>
                </a:ext>
              </a:extLst>
            </xdr:cNvPr>
            <xdr:cNvSpPr txBox="1"/>
          </xdr:nvSpPr>
          <xdr:spPr>
            <a:xfrm>
              <a:off x="7978140" y="37680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=6.25*</a:t>
              </a: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F3FF123C-14FF-473D-81CA-FB24743B6559}"/>
                </a:ext>
              </a:extLst>
            </xdr:cNvPr>
            <xdr:cNvSpPr txBox="1"/>
          </xdr:nvSpPr>
          <xdr:spPr>
            <a:xfrm>
              <a:off x="7978140" y="37680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=6.25*</a:t>
              </a:r>
            </a:p>
          </xdr:txBody>
        </xdr:sp>
      </mc:Fallback>
    </mc:AlternateContent>
    <xdr:clientData/>
  </xdr:oneCellAnchor>
  <xdr:oneCellAnchor>
    <xdr:from>
      <xdr:col>10</xdr:col>
      <xdr:colOff>762000</xdr:colOff>
      <xdr:row>18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F72B4A8D-CB00-446A-9018-84C4C1C9A5DA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F72B4A8D-CB00-446A-9018-84C4C1C9A5DA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18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8C49AF58-7B1B-4417-ADF7-C920888287D3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8C49AF58-7B1B-4417-ADF7-C920888287D3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762000</xdr:colOff>
      <xdr:row>19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8E3C93F-1E64-4A2E-AABB-503B8EE6477D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8E3C93F-1E64-4A2E-AABB-503B8EE6477D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19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AC4C338-6171-446F-9FE6-C7DE4B1865BC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AC4C338-6171-446F-9FE6-C7DE4B1865BC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22860</xdr:colOff>
      <xdr:row>20</xdr:row>
      <xdr:rowOff>3810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BF7BBF8B-A93F-47B3-839F-2683D5FE415B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BF7BBF8B-A93F-47B3-839F-2683D5FE415B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76200</xdr:colOff>
      <xdr:row>20</xdr:row>
      <xdr:rowOff>3810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10CECE6-4BCA-4350-9B06-3EF6081D9F9C}"/>
                </a:ext>
              </a:extLst>
            </xdr:cNvPr>
            <xdr:cNvSpPr txBox="1"/>
          </xdr:nvSpPr>
          <xdr:spPr>
            <a:xfrm>
              <a:off x="7978140" y="39585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=6.25*</a:t>
              </a: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10CECE6-4BCA-4350-9B06-3EF6081D9F9C}"/>
                </a:ext>
              </a:extLst>
            </xdr:cNvPr>
            <xdr:cNvSpPr txBox="1"/>
          </xdr:nvSpPr>
          <xdr:spPr>
            <a:xfrm>
              <a:off x="7978140" y="39585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=6.25*</a:t>
              </a:r>
            </a:p>
          </xdr:txBody>
        </xdr:sp>
      </mc:Fallback>
    </mc:AlternateContent>
    <xdr:clientData/>
  </xdr:oneCellAnchor>
  <xdr:oneCellAnchor>
    <xdr:from>
      <xdr:col>10</xdr:col>
      <xdr:colOff>762000</xdr:colOff>
      <xdr:row>19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5541009D-EC9F-4C6F-9B88-8F7052A76DF3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5541009D-EC9F-4C6F-9B88-8F7052A76DF3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19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9EE36A3-028A-4450-B949-4FCA7FE25141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9EE36A3-028A-4450-B949-4FCA7FE25141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762000</xdr:colOff>
      <xdr:row>20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BBD21A7-9DE4-40AA-A5DD-37C2414E1EB3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BBD21A7-9DE4-40AA-A5DD-37C2414E1EB3}"/>
                </a:ext>
              </a:extLst>
            </xdr:cNvPr>
            <xdr:cNvSpPr txBox="1"/>
          </xdr:nvSpPr>
          <xdr:spPr>
            <a:xfrm>
              <a:off x="8663940" y="3188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20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66A23D52-0607-4FEF-8A32-0BD5CE76E232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66A23D52-0607-4FEF-8A32-0BD5CE76E232}"/>
                </a:ext>
              </a:extLst>
            </xdr:cNvPr>
            <xdr:cNvSpPr txBox="1"/>
          </xdr:nvSpPr>
          <xdr:spPr>
            <a:xfrm>
              <a:off x="9083040" y="31889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22860</xdr:colOff>
      <xdr:row>21</xdr:row>
      <xdr:rowOff>3810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BC9975C3-A6F4-439B-8E60-6433AFFD4927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BC9975C3-A6F4-439B-8E60-6433AFFD4927}"/>
                </a:ext>
              </a:extLst>
            </xdr:cNvPr>
            <xdr:cNvSpPr txBox="1"/>
          </xdr:nvSpPr>
          <xdr:spPr>
            <a:xfrm>
              <a:off x="7315200" y="300609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76200</xdr:colOff>
      <xdr:row>21</xdr:row>
      <xdr:rowOff>3810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69FB6E6F-498B-4F84-BC68-22FE813DD6B6}"/>
                </a:ext>
              </a:extLst>
            </xdr:cNvPr>
            <xdr:cNvSpPr txBox="1"/>
          </xdr:nvSpPr>
          <xdr:spPr>
            <a:xfrm>
              <a:off x="7978140" y="41490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=8.03*</a:t>
              </a: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69FB6E6F-498B-4F84-BC68-22FE813DD6B6}"/>
                </a:ext>
              </a:extLst>
            </xdr:cNvPr>
            <xdr:cNvSpPr txBox="1"/>
          </xdr:nvSpPr>
          <xdr:spPr>
            <a:xfrm>
              <a:off x="7978140" y="414909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=8.03*</a:t>
              </a:r>
            </a:p>
          </xdr:txBody>
        </xdr:sp>
      </mc:Fallback>
    </mc:AlternateContent>
    <xdr:clientData/>
  </xdr:oneCellAnchor>
  <xdr:oneCellAnchor>
    <xdr:from>
      <xdr:col>10</xdr:col>
      <xdr:colOff>762000</xdr:colOff>
      <xdr:row>20</xdr:row>
      <xdr:rowOff>354330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F272F5D8-7D8B-40C5-A74C-150B8B639517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F272F5D8-7D8B-40C5-A74C-150B8B639517}"/>
                </a:ext>
              </a:extLst>
            </xdr:cNvPr>
            <xdr:cNvSpPr txBox="1"/>
          </xdr:nvSpPr>
          <xdr:spPr>
            <a:xfrm>
              <a:off x="8663940" y="29984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358140</xdr:colOff>
      <xdr:row>20</xdr:row>
      <xdr:rowOff>354330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3C2B5E19-161E-4B2C-BAA6-AFC91BBCCB26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3C2B5E19-161E-4B2C-BAA6-AFC91BBCCB26}"/>
                </a:ext>
              </a:extLst>
            </xdr:cNvPr>
            <xdr:cNvSpPr txBox="1"/>
          </xdr:nvSpPr>
          <xdr:spPr>
            <a:xfrm>
              <a:off x="9083040" y="299847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11</xdr:col>
      <xdr:colOff>7620</xdr:colOff>
      <xdr:row>21</xdr:row>
      <xdr:rowOff>186690</xdr:rowOff>
    </xdr:from>
    <xdr:ext cx="43851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1CD2304-7E0A-42CC-9493-014888B9A746}"/>
                </a:ext>
              </a:extLst>
            </xdr:cNvPr>
            <xdr:cNvSpPr txBox="1"/>
          </xdr:nvSpPr>
          <xdr:spPr>
            <a:xfrm>
              <a:off x="8732520" y="4331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 kg/</a:t>
              </a: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1CD2304-7E0A-42CC-9493-014888B9A746}"/>
                </a:ext>
              </a:extLst>
            </xdr:cNvPr>
            <xdr:cNvSpPr txBox="1"/>
          </xdr:nvSpPr>
          <xdr:spPr>
            <a:xfrm>
              <a:off x="8732520" y="4331970"/>
              <a:ext cx="43851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 kg/</a:t>
              </a:r>
            </a:p>
          </xdr:txBody>
        </xdr:sp>
      </mc:Fallback>
    </mc:AlternateContent>
    <xdr:clientData/>
  </xdr:oneCellAnchor>
  <xdr:oneCellAnchor>
    <xdr:from>
      <xdr:col>11</xdr:col>
      <xdr:colOff>434340</xdr:colOff>
      <xdr:row>22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8E5B6C-B2C9-4718-8FB1-52623E7FFD70}"/>
                </a:ext>
              </a:extLst>
            </xdr:cNvPr>
            <xdr:cNvSpPr txBox="1"/>
          </xdr:nvSpPr>
          <xdr:spPr>
            <a:xfrm>
              <a:off x="9159240" y="43395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8E5B6C-B2C9-4718-8FB1-52623E7FFD70}"/>
                </a:ext>
              </a:extLst>
            </xdr:cNvPr>
            <xdr:cNvSpPr txBox="1"/>
          </xdr:nvSpPr>
          <xdr:spPr>
            <a:xfrm>
              <a:off x="9159240" y="43395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91440</xdr:colOff>
      <xdr:row>21</xdr:row>
      <xdr:rowOff>186690</xdr:rowOff>
    </xdr:from>
    <xdr:ext cx="6713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25D8138-5020-4F0E-A5C5-15338E612019}"/>
                </a:ext>
              </a:extLst>
            </xdr:cNvPr>
            <xdr:cNvSpPr txBox="1"/>
          </xdr:nvSpPr>
          <xdr:spPr>
            <a:xfrm>
              <a:off x="7383780" y="433197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−3</m:t>
                      </m:r>
                    </m:sup>
                  </m:sSup>
                </m:oMath>
              </a14:m>
              <a:r>
                <a:rPr lang="en-US" sz="1100" kern="1200"/>
                <a:t>/1.12*</a:t>
              </a: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25D8138-5020-4F0E-A5C5-15338E612019}"/>
                </a:ext>
              </a:extLst>
            </xdr:cNvPr>
            <xdr:cNvSpPr txBox="1"/>
          </xdr:nvSpPr>
          <xdr:spPr>
            <a:xfrm>
              <a:off x="7383780" y="4331970"/>
              <a:ext cx="6713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10^(−3)</a:t>
              </a:r>
              <a:r>
                <a:rPr lang="en-US" sz="1100" kern="1200"/>
                <a:t>/1.12*</a:t>
              </a:r>
            </a:p>
          </xdr:txBody>
        </xdr:sp>
      </mc:Fallback>
    </mc:AlternateContent>
    <xdr:clientData/>
  </xdr:oneCellAnchor>
  <xdr:oneCellAnchor>
    <xdr:from>
      <xdr:col>10</xdr:col>
      <xdr:colOff>144780</xdr:colOff>
      <xdr:row>21</xdr:row>
      <xdr:rowOff>186690</xdr:rowOff>
    </xdr:from>
    <xdr:ext cx="68711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5640AF73-836E-438A-A9DE-DA06A74262D6}"/>
                </a:ext>
              </a:extLst>
            </xdr:cNvPr>
            <xdr:cNvSpPr txBox="1"/>
          </xdr:nvSpPr>
          <xdr:spPr>
            <a:xfrm>
              <a:off x="8046720" y="433197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−6</m:t>
                      </m:r>
                    </m:sup>
                  </m:sSup>
                </m:oMath>
              </a14:m>
              <a:r>
                <a:rPr lang="en-US" sz="1100" kern="1200"/>
                <a:t>=10.7*</a:t>
              </a: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5640AF73-836E-438A-A9DE-DA06A74262D6}"/>
                </a:ext>
              </a:extLst>
            </xdr:cNvPr>
            <xdr:cNvSpPr txBox="1"/>
          </xdr:nvSpPr>
          <xdr:spPr>
            <a:xfrm>
              <a:off x="8046720" y="4331970"/>
              <a:ext cx="68711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10^(−6)</a:t>
              </a:r>
              <a:r>
                <a:rPr lang="en-US" sz="1100" kern="1200"/>
                <a:t>=10.7*</a:t>
              </a:r>
            </a:p>
          </xdr:txBody>
        </xdr:sp>
      </mc:Fallback>
    </mc:AlternateContent>
    <xdr:clientData/>
  </xdr:oneCellAnchor>
  <xdr:oneCellAnchor>
    <xdr:from>
      <xdr:col>15</xdr:col>
      <xdr:colOff>419100</xdr:colOff>
      <xdr:row>17</xdr:row>
      <xdr:rowOff>87630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3BA3224-2C32-451E-A187-A1E9863F6DB9}"/>
            </a:ext>
          </a:extLst>
        </xdr:cNvPr>
        <xdr:cNvSpPr txBox="1"/>
      </xdr:nvSpPr>
      <xdr:spPr>
        <a:xfrm>
          <a:off x="11582400" y="3470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16</xdr:col>
      <xdr:colOff>548640</xdr:colOff>
      <xdr:row>20</xdr:row>
      <xdr:rowOff>87630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464CBE3-1474-4849-A22D-5952A92C5B3A}"/>
            </a:ext>
          </a:extLst>
        </xdr:cNvPr>
        <xdr:cNvSpPr txBox="1"/>
      </xdr:nvSpPr>
      <xdr:spPr>
        <a:xfrm>
          <a:off x="12321540" y="40424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10</xdr:col>
      <xdr:colOff>762000</xdr:colOff>
      <xdr:row>22</xdr:row>
      <xdr:rowOff>186690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B782908-A6BE-4A3D-A28A-91C0A9D1C6EB}"/>
            </a:ext>
          </a:extLst>
        </xdr:cNvPr>
        <xdr:cNvSpPr txBox="1"/>
      </xdr:nvSpPr>
      <xdr:spPr>
        <a:xfrm>
          <a:off x="8663940" y="4522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16</xdr:col>
      <xdr:colOff>106680</xdr:colOff>
      <xdr:row>15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5D21E078-340B-1932-A718-813A71DDACBA}"/>
                </a:ext>
              </a:extLst>
            </xdr:cNvPr>
            <xdr:cNvSpPr txBox="1"/>
          </xdr:nvSpPr>
          <xdr:spPr>
            <a:xfrm>
              <a:off x="11879580" y="3006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9.81=8.73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5D21E078-340B-1932-A718-813A71DDACBA}"/>
                </a:ext>
              </a:extLst>
            </xdr:cNvPr>
            <xdr:cNvSpPr txBox="1"/>
          </xdr:nvSpPr>
          <xdr:spPr>
            <a:xfrm>
              <a:off x="11879580" y="3006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9.81=8.73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548640</xdr:colOff>
      <xdr:row>15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C0588F1-132E-6886-B5EE-8894A435640F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C0588F1-132E-6886-B5EE-8894A435640F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16</xdr:col>
      <xdr:colOff>106680</xdr:colOff>
      <xdr:row>16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59364F27-A146-42D6-B020-725B6CBCA839}"/>
                </a:ext>
              </a:extLst>
            </xdr:cNvPr>
            <xdr:cNvSpPr txBox="1"/>
          </xdr:nvSpPr>
          <xdr:spPr>
            <a:xfrm>
              <a:off x="11879580" y="3196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9.81=17.4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59364F27-A146-42D6-B020-725B6CBCA839}"/>
                </a:ext>
              </a:extLst>
            </xdr:cNvPr>
            <xdr:cNvSpPr txBox="1"/>
          </xdr:nvSpPr>
          <xdr:spPr>
            <a:xfrm>
              <a:off x="11879580" y="3196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9.81=17.4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556260</xdr:colOff>
      <xdr:row>16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207FCCB9-EE72-44BB-B560-65C89F912E96}"/>
                </a:ext>
              </a:extLst>
            </xdr:cNvPr>
            <xdr:cNvSpPr txBox="1"/>
          </xdr:nvSpPr>
          <xdr:spPr>
            <a:xfrm>
              <a:off x="12938760" y="31965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207FCCB9-EE72-44BB-B560-65C89F912E96}"/>
                </a:ext>
              </a:extLst>
            </xdr:cNvPr>
            <xdr:cNvSpPr txBox="1"/>
          </xdr:nvSpPr>
          <xdr:spPr>
            <a:xfrm>
              <a:off x="12938760" y="31965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16</xdr:col>
      <xdr:colOff>106680</xdr:colOff>
      <xdr:row>17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32817281-ABCE-41B7-B807-7115C4625030}"/>
                </a:ext>
              </a:extLst>
            </xdr:cNvPr>
            <xdr:cNvSpPr txBox="1"/>
          </xdr:nvSpPr>
          <xdr:spPr>
            <a:xfrm>
              <a:off x="11879580" y="3387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9.81=87.4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32817281-ABCE-41B7-B807-7115C4625030}"/>
                </a:ext>
              </a:extLst>
            </xdr:cNvPr>
            <xdr:cNvSpPr txBox="1"/>
          </xdr:nvSpPr>
          <xdr:spPr>
            <a:xfrm>
              <a:off x="11879580" y="3387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9.81=87.4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548640</xdr:colOff>
      <xdr:row>17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C46F496-FA90-456A-8811-8FA11FB172E8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C46F496-FA90-456A-8811-8FA11FB172E8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16</xdr:col>
      <xdr:colOff>106680</xdr:colOff>
      <xdr:row>18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E5BF1D4F-BF20-43F2-97E8-F143BF3E7415}"/>
                </a:ext>
              </a:extLst>
            </xdr:cNvPr>
            <xdr:cNvSpPr txBox="1"/>
          </xdr:nvSpPr>
          <xdr:spPr>
            <a:xfrm>
              <a:off x="11879580" y="3577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9.81=26.1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E5BF1D4F-BF20-43F2-97E8-F143BF3E7415}"/>
                </a:ext>
              </a:extLst>
            </xdr:cNvPr>
            <xdr:cNvSpPr txBox="1"/>
          </xdr:nvSpPr>
          <xdr:spPr>
            <a:xfrm>
              <a:off x="11879580" y="3577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9.81=26.1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548640</xdr:colOff>
      <xdr:row>18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D0050B81-E12E-43D9-BA6F-60BA9BEFEB41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D0050B81-E12E-43D9-BA6F-60BA9BEFEB41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16</xdr:col>
      <xdr:colOff>106680</xdr:colOff>
      <xdr:row>19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50B087B6-A22E-49EA-A3E5-E72C6AEFC15D}"/>
                </a:ext>
              </a:extLst>
            </xdr:cNvPr>
            <xdr:cNvSpPr txBox="1"/>
          </xdr:nvSpPr>
          <xdr:spPr>
            <a:xfrm>
              <a:off x="11879580" y="3768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9.81=61.3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50B087B6-A22E-49EA-A3E5-E72C6AEFC15D}"/>
                </a:ext>
              </a:extLst>
            </xdr:cNvPr>
            <xdr:cNvSpPr txBox="1"/>
          </xdr:nvSpPr>
          <xdr:spPr>
            <a:xfrm>
              <a:off x="11879580" y="3768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9.81=61.3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548640</xdr:colOff>
      <xdr:row>19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55439430-027C-41E6-9157-B21AB957CC8E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55439430-027C-41E6-9157-B21AB957CC8E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16</xdr:col>
      <xdr:colOff>106680</xdr:colOff>
      <xdr:row>20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BC4D31A1-D148-426E-978A-37DCC869221C}"/>
                </a:ext>
              </a:extLst>
            </xdr:cNvPr>
            <xdr:cNvSpPr txBox="1"/>
          </xdr:nvSpPr>
          <xdr:spPr>
            <a:xfrm>
              <a:off x="11879580" y="3958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9.81=61.3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BC4D31A1-D148-426E-978A-37DCC869221C}"/>
                </a:ext>
              </a:extLst>
            </xdr:cNvPr>
            <xdr:cNvSpPr txBox="1"/>
          </xdr:nvSpPr>
          <xdr:spPr>
            <a:xfrm>
              <a:off x="11879580" y="3958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9.81=61.3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548640</xdr:colOff>
      <xdr:row>20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CFD3EBD4-7EF8-436A-B138-1E67BB5647C7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CFD3EBD4-7EF8-436A-B138-1E67BB5647C7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16</xdr:col>
      <xdr:colOff>106680</xdr:colOff>
      <xdr:row>21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F471D00-866F-4590-BB6B-21965B2A69FF}"/>
                </a:ext>
              </a:extLst>
            </xdr:cNvPr>
            <xdr:cNvSpPr txBox="1"/>
          </xdr:nvSpPr>
          <xdr:spPr>
            <a:xfrm>
              <a:off x="11879580" y="4149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9.81=78.7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F471D00-866F-4590-BB6B-21965B2A69FF}"/>
                </a:ext>
              </a:extLst>
            </xdr:cNvPr>
            <xdr:cNvSpPr txBox="1"/>
          </xdr:nvSpPr>
          <xdr:spPr>
            <a:xfrm>
              <a:off x="11879580" y="41490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9.81=78.7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548640</xdr:colOff>
      <xdr:row>21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F0484437-1DF6-4C5F-A2C0-CE208F3A620D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F0484437-1DF6-4C5F-A2C0-CE208F3A620D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16</xdr:col>
      <xdr:colOff>106680</xdr:colOff>
      <xdr:row>22</xdr:row>
      <xdr:rowOff>3810</xdr:rowOff>
    </xdr:from>
    <xdr:ext cx="107157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B9138E2-5ED4-40F4-91BF-3BDF112F1625}"/>
                </a:ext>
              </a:extLst>
            </xdr:cNvPr>
            <xdr:cNvSpPr txBox="1"/>
          </xdr:nvSpPr>
          <xdr:spPr>
            <a:xfrm>
              <a:off x="11879580" y="4339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n-US" sz="1100" kern="1200"/>
                <a:t>* 9.81=10.4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B9138E2-5ED4-40F4-91BF-3BDF112F1625}"/>
                </a:ext>
              </a:extLst>
            </xdr:cNvPr>
            <xdr:cNvSpPr txBox="1"/>
          </xdr:nvSpPr>
          <xdr:spPr>
            <a:xfrm>
              <a:off x="11879580" y="4339590"/>
              <a:ext cx="107157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10^3</a:t>
              </a:r>
              <a:r>
                <a:rPr lang="en-US" sz="1100" kern="1200"/>
                <a:t>* 9.81=10.4</a:t>
              </a:r>
              <a:r>
                <a:rPr lang="en-US" sz="1100" kern="1200" baseline="0"/>
                <a:t> N/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17</xdr:col>
      <xdr:colOff>548640</xdr:colOff>
      <xdr:row>22</xdr:row>
      <xdr:rowOff>3810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A80EB223-3D71-46A0-951B-17876045D56C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A80EB223-3D71-46A0-951B-17876045D56C}"/>
                </a:ext>
              </a:extLst>
            </xdr:cNvPr>
            <xdr:cNvSpPr txBox="1"/>
          </xdr:nvSpPr>
          <xdr:spPr>
            <a:xfrm>
              <a:off x="12931140" y="3006090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𝑚^3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4</xdr:row>
      <xdr:rowOff>3810</xdr:rowOff>
    </xdr:from>
    <xdr:ext cx="3466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001532-FB2C-071F-588B-C09689D172B7}"/>
                </a:ext>
              </a:extLst>
            </xdr:cNvPr>
            <xdr:cNvSpPr txBox="1"/>
          </xdr:nvSpPr>
          <xdr:spPr>
            <a:xfrm>
              <a:off x="1943100" y="887730"/>
              <a:ext cx="346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001532-FB2C-071F-588B-C09689D172B7}"/>
                </a:ext>
              </a:extLst>
            </xdr:cNvPr>
            <xdr:cNvSpPr txBox="1"/>
          </xdr:nvSpPr>
          <xdr:spPr>
            <a:xfrm>
              <a:off x="1943100" y="887730"/>
              <a:ext cx="346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𝑋_𝑚𝑎𝑥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114300</xdr:colOff>
      <xdr:row>4</xdr:row>
      <xdr:rowOff>3810</xdr:rowOff>
    </xdr:from>
    <xdr:ext cx="3238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BDBF364-8BB9-668B-3F01-04B1B8D95AE0}"/>
                </a:ext>
              </a:extLst>
            </xdr:cNvPr>
            <xdr:cNvSpPr txBox="1"/>
          </xdr:nvSpPr>
          <xdr:spPr>
            <a:xfrm>
              <a:off x="2552700" y="887730"/>
              <a:ext cx="3238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BDBF364-8BB9-668B-3F01-04B1B8D95AE0}"/>
                </a:ext>
              </a:extLst>
            </xdr:cNvPr>
            <xdr:cNvSpPr txBox="1"/>
          </xdr:nvSpPr>
          <xdr:spPr>
            <a:xfrm>
              <a:off x="2552700" y="887730"/>
              <a:ext cx="3238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𝑌_𝑚𝑎𝑥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15240</xdr:colOff>
      <xdr:row>4</xdr:row>
      <xdr:rowOff>11430</xdr:rowOff>
    </xdr:from>
    <xdr:ext cx="44864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4FE69A6-B639-92F7-C5D8-3013BDC5B025}"/>
                </a:ext>
              </a:extLst>
            </xdr:cNvPr>
            <xdr:cNvSpPr txBox="1"/>
          </xdr:nvSpPr>
          <xdr:spPr>
            <a:xfrm>
              <a:off x="624840" y="895350"/>
              <a:ext cx="4486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𝑣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r>
                <a:rPr lang="en-US" sz="1100" kern="1200"/>
                <a:t>(m/s)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4FE69A6-B639-92F7-C5D8-3013BDC5B025}"/>
                </a:ext>
              </a:extLst>
            </xdr:cNvPr>
            <xdr:cNvSpPr txBox="1"/>
          </xdr:nvSpPr>
          <xdr:spPr>
            <a:xfrm>
              <a:off x="624840" y="895350"/>
              <a:ext cx="4486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𝑣_0</a:t>
              </a:r>
              <a:r>
                <a:rPr lang="en-US" sz="1100" kern="1200"/>
                <a:t>(m/s)</a:t>
              </a:r>
            </a:p>
          </xdr:txBody>
        </xdr:sp>
      </mc:Fallback>
    </mc:AlternateContent>
    <xdr:clientData/>
  </xdr:oneCellAnchor>
  <xdr:oneCellAnchor>
    <xdr:from>
      <xdr:col>2</xdr:col>
      <xdr:colOff>281940</xdr:colOff>
      <xdr:row>4</xdr:row>
      <xdr:rowOff>11430</xdr:rowOff>
    </xdr:from>
    <xdr:ext cx="17998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031906-C90B-0379-B262-B1B1ADAD7160}"/>
                </a:ext>
              </a:extLst>
            </xdr:cNvPr>
            <xdr:cNvSpPr txBox="1"/>
          </xdr:nvSpPr>
          <xdr:spPr>
            <a:xfrm>
              <a:off x="1501140" y="895350"/>
              <a:ext cx="17998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𝑠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 kern="1200"/>
                <a:t>)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031906-C90B-0379-B262-B1B1ADAD7160}"/>
                </a:ext>
              </a:extLst>
            </xdr:cNvPr>
            <xdr:cNvSpPr txBox="1"/>
          </xdr:nvSpPr>
          <xdr:spPr>
            <a:xfrm>
              <a:off x="1501140" y="895350"/>
              <a:ext cx="17998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𝑠^2</a:t>
              </a:r>
              <a:r>
                <a:rPr lang="en-US" sz="1100" kern="1200"/>
                <a:t>)</a:t>
              </a:r>
            </a:p>
          </xdr:txBody>
        </xdr:sp>
      </mc:Fallback>
    </mc:AlternateContent>
    <xdr:clientData/>
  </xdr:oneCellAnchor>
  <xdr:oneCellAnchor>
    <xdr:from>
      <xdr:col>10</xdr:col>
      <xdr:colOff>533400</xdr:colOff>
      <xdr:row>10</xdr:row>
      <xdr:rowOff>26670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FCE723-63BB-648D-78E2-9FD10961D2D7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0</xdr:col>
      <xdr:colOff>22860</xdr:colOff>
      <xdr:row>14</xdr:row>
      <xdr:rowOff>171450</xdr:rowOff>
    </xdr:from>
    <xdr:ext cx="44884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67CBE2-8DD8-5981-44E7-37D901941A7D}"/>
                </a:ext>
              </a:extLst>
            </xdr:cNvPr>
            <xdr:cNvSpPr txBox="1"/>
          </xdr:nvSpPr>
          <xdr:spPr>
            <a:xfrm>
              <a:off x="22860" y="2945130"/>
              <a:ext cx="4488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𝑚𝑎𝑥</m:t>
                      </m:r>
                    </m:sub>
                  </m:sSub>
                </m:oMath>
              </a14:m>
              <a:r>
                <a:rPr lang="en-US" sz="1100" kern="1200"/>
                <a:t> = 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67CBE2-8DD8-5981-44E7-37D901941A7D}"/>
                </a:ext>
              </a:extLst>
            </xdr:cNvPr>
            <xdr:cNvSpPr txBox="1"/>
          </xdr:nvSpPr>
          <xdr:spPr>
            <a:xfrm>
              <a:off x="22860" y="2945130"/>
              <a:ext cx="4488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𝑋_𝑚𝑎𝑥</a:t>
              </a:r>
              <a:r>
                <a:rPr lang="en-US" sz="1100" kern="1200"/>
                <a:t> = </a:t>
              </a:r>
            </a:p>
          </xdr:txBody>
        </xdr:sp>
      </mc:Fallback>
    </mc:AlternateContent>
    <xdr:clientData/>
  </xdr:oneCellAnchor>
  <xdr:oneCellAnchor>
    <xdr:from>
      <xdr:col>10</xdr:col>
      <xdr:colOff>533400</xdr:colOff>
      <xdr:row>10</xdr:row>
      <xdr:rowOff>26670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065893-5749-7F88-FD95-53E5223C9897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10</xdr:col>
      <xdr:colOff>533400</xdr:colOff>
      <xdr:row>10</xdr:row>
      <xdr:rowOff>26670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1CE5038-F1F8-B85D-725D-BDA8F6927584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10</xdr:col>
      <xdr:colOff>533400</xdr:colOff>
      <xdr:row>10</xdr:row>
      <xdr:rowOff>26670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8FCE0E3-B5F1-C249-7CFB-DB6CCC8625FC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0</xdr:col>
      <xdr:colOff>449580</xdr:colOff>
      <xdr:row>14</xdr:row>
      <xdr:rowOff>102870</xdr:rowOff>
    </xdr:from>
    <xdr:ext cx="744306" cy="372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BD93556-99F2-3CA4-9CE4-CAA51B540611}"/>
                </a:ext>
              </a:extLst>
            </xdr:cNvPr>
            <xdr:cNvSpPr txBox="1"/>
          </xdr:nvSpPr>
          <xdr:spPr>
            <a:xfrm>
              <a:off x="449580" y="2876550"/>
              <a:ext cx="744306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func>
                          <m:func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 kern="1200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sSup>
                              <m:sSup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(2∗</m:t>
                                </m:r>
                              </m:e>
                              <m:sup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p>
                            </m:sSup>
                          </m:e>
                        </m:func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BD93556-99F2-3CA4-9CE4-CAA51B540611}"/>
                </a:ext>
              </a:extLst>
            </xdr:cNvPr>
            <xdr:cNvSpPr txBox="1"/>
          </xdr:nvSpPr>
          <xdr:spPr>
            <a:xfrm>
              <a:off x="449580" y="2876550"/>
              <a:ext cx="744306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𝑣_0^2  sin⁡〖〖(2∗〗^0 〗))/𝑔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419100</xdr:colOff>
      <xdr:row>14</xdr:row>
      <xdr:rowOff>87630</xdr:rowOff>
    </xdr:from>
    <xdr:ext cx="654346" cy="372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719C4BF-4739-7049-37D1-3BFF0BBC35AB}"/>
                </a:ext>
              </a:extLst>
            </xdr:cNvPr>
            <xdr:cNvSpPr txBox="1"/>
          </xdr:nvSpPr>
          <xdr:spPr>
            <a:xfrm>
              <a:off x="1638300" y="2861310"/>
              <a:ext cx="654346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𝑠𝑖𝑛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(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719C4BF-4739-7049-37D1-3BFF0BBC35AB}"/>
                </a:ext>
              </a:extLst>
            </xdr:cNvPr>
            <xdr:cNvSpPr txBox="1"/>
          </xdr:nvSpPr>
          <xdr:spPr>
            <a:xfrm>
              <a:off x="1638300" y="2861310"/>
              <a:ext cx="654346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𝑣_0^2  〖𝑠𝑖𝑛〗^2 (^0))/2𝑔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533400</xdr:colOff>
      <xdr:row>10</xdr:row>
      <xdr:rowOff>26670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714DC7-C5E5-5370-7AB3-9E1D33291EBF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2</xdr:col>
      <xdr:colOff>7620</xdr:colOff>
      <xdr:row>14</xdr:row>
      <xdr:rowOff>171450</xdr:rowOff>
    </xdr:from>
    <xdr:ext cx="3940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9427A26-0824-F559-D4AA-4CA390D4BED6}"/>
                </a:ext>
              </a:extLst>
            </xdr:cNvPr>
            <xdr:cNvSpPr txBox="1"/>
          </xdr:nvSpPr>
          <xdr:spPr>
            <a:xfrm>
              <a:off x="1226820" y="2945130"/>
              <a:ext cx="3940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𝑌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𝑚𝑎𝑥</m:t>
                      </m:r>
                    </m:sub>
                  </m:sSub>
                </m:oMath>
              </a14:m>
              <a:r>
                <a:rPr lang="en-US" sz="1100" kern="1200"/>
                <a:t> =</a:t>
              </a: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9427A26-0824-F559-D4AA-4CA390D4BED6}"/>
                </a:ext>
              </a:extLst>
            </xdr:cNvPr>
            <xdr:cNvSpPr txBox="1"/>
          </xdr:nvSpPr>
          <xdr:spPr>
            <a:xfrm>
              <a:off x="1226820" y="2945130"/>
              <a:ext cx="3940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𝑌_𝑚𝑎𝑥</a:t>
              </a:r>
              <a:r>
                <a:rPr lang="en-US" sz="1100" kern="1200"/>
                <a:t> =</a:t>
              </a:r>
            </a:p>
          </xdr:txBody>
        </xdr:sp>
      </mc:Fallback>
    </mc:AlternateContent>
    <xdr:clientData/>
  </xdr:oneCellAnchor>
  <xdr:oneCellAnchor>
    <xdr:from>
      <xdr:col>0</xdr:col>
      <xdr:colOff>182880</xdr:colOff>
      <xdr:row>4</xdr:row>
      <xdr:rowOff>11430</xdr:rowOff>
    </xdr:from>
    <xdr:ext cx="144335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D007123-2C3D-C900-91FF-04B7015678A8}"/>
                </a:ext>
              </a:extLst>
            </xdr:cNvPr>
            <xdr:cNvSpPr txBox="1"/>
          </xdr:nvSpPr>
          <xdr:spPr>
            <a:xfrm>
              <a:off x="182880" y="895350"/>
              <a:ext cx="144335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</m:oMath>
                </m:oMathPara>
              </a14:m>
              <a:endParaRPr lang="en-US">
                <a:effectLst/>
              </a:endParaRPr>
            </a:p>
            <a:p>
              <a:endParaRPr lang="en-US" sz="1100" kern="12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D007123-2C3D-C900-91FF-04B7015678A8}"/>
                </a:ext>
              </a:extLst>
            </xdr:cNvPr>
            <xdr:cNvSpPr txBox="1"/>
          </xdr:nvSpPr>
          <xdr:spPr>
            <a:xfrm>
              <a:off x="182880" y="895350"/>
              <a:ext cx="144335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𝜃</a:t>
              </a:r>
              <a:endParaRPr lang="en-US">
                <a:effectLst/>
              </a:endParaRPr>
            </a:p>
            <a:p>
              <a:endParaRPr lang="en-US" sz="1100" kern="1200"/>
            </a:p>
          </xdr:txBody>
        </xdr:sp>
      </mc:Fallback>
    </mc:AlternateContent>
    <xdr:clientData/>
  </xdr:oneCellAnchor>
  <xdr:twoCellAnchor>
    <xdr:from>
      <xdr:col>5</xdr:col>
      <xdr:colOff>594360</xdr:colOff>
      <xdr:row>4</xdr:row>
      <xdr:rowOff>3810</xdr:rowOff>
    </xdr:from>
    <xdr:to>
      <xdr:col>14</xdr:col>
      <xdr:colOff>198120</xdr:colOff>
      <xdr:row>21</xdr:row>
      <xdr:rowOff>7620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975F893-1055-F5E4-AB92-F5131BA66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4</xdr:row>
      <xdr:rowOff>3810</xdr:rowOff>
    </xdr:from>
    <xdr:to>
      <xdr:col>25</xdr:col>
      <xdr:colOff>99060</xdr:colOff>
      <xdr:row>21</xdr:row>
      <xdr:rowOff>15240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5FE406A-D0E7-A943-1D50-DC408BAF1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533400</xdr:colOff>
      <xdr:row>10</xdr:row>
      <xdr:rowOff>26670</xdr:rowOff>
    </xdr:from>
    <xdr:ext cx="123187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65BD282-C23F-554C-62F5-E9E93385BD40}"/>
                </a:ext>
              </a:extLst>
            </xdr:cNvPr>
            <xdr:cNvSpPr txBox="1"/>
          </xdr:nvSpPr>
          <xdr:spPr>
            <a:xfrm>
              <a:off x="6629400" y="205359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 kern="1200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65BD282-C23F-554C-62F5-E9E93385BD40}"/>
                </a:ext>
              </a:extLst>
            </xdr:cNvPr>
            <xdr:cNvSpPr txBox="1"/>
          </xdr:nvSpPr>
          <xdr:spPr>
            <a:xfrm>
              <a:off x="6629400" y="205359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"Type equation here."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0.03518</cdr:x>
      <cdr:y>0.39324</cdr:y>
    </cdr:from>
    <cdr:to>
      <cdr:x>0.08608</cdr:x>
      <cdr:y>0.55006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B62506-7BC2-B344-233F-77B0541ABBC3}"/>
            </a:ext>
          </a:extLst>
        </cdr:cNvPr>
        <cdr:cNvSpPr txBox="1"/>
      </cdr:nvSpPr>
      <cdr:spPr>
        <a:xfrm xmlns:a="http://schemas.openxmlformats.org/drawingml/2006/main" rot="16200000">
          <a:off x="60960" y="1360170"/>
          <a:ext cx="49530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kern="1200"/>
            <a:t>Xmax</a:t>
          </a:r>
        </a:p>
      </cdr:txBody>
    </cdr:sp>
  </cdr:relSizeAnchor>
  <cdr:relSizeAnchor xmlns:cdr="http://schemas.openxmlformats.org/drawingml/2006/chartDrawing">
    <cdr:from>
      <cdr:x>0.45609</cdr:x>
      <cdr:y>0.84318</cdr:y>
    </cdr:from>
    <cdr:to>
      <cdr:x>0.50699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C14D706-170A-41D6-9D0E-757C2E2FDA1C}"/>
            </a:ext>
          </a:extLst>
        </cdr:cNvPr>
        <cdr:cNvSpPr txBox="1"/>
      </cdr:nvSpPr>
      <cdr:spPr>
        <a:xfrm xmlns:a="http://schemas.openxmlformats.org/drawingml/2006/main" rot="16200000">
          <a:off x="2203450" y="2781300"/>
          <a:ext cx="49530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50" kern="1200"/>
        </a:p>
      </cdr:txBody>
    </cdr:sp>
  </cdr:relSizeAnchor>
  <cdr:relSizeAnchor xmlns:cdr="http://schemas.openxmlformats.org/drawingml/2006/chartDrawing">
    <cdr:from>
      <cdr:x>0.54192</cdr:x>
      <cdr:y>0.85766</cdr:y>
    </cdr:from>
    <cdr:to>
      <cdr:x>0.9491</cdr:x>
      <cdr:y>0.95657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TextBox 3">
              <a:extLst xmlns:a="http://schemas.openxmlformats.org/drawingml/2006/main">
                <a:ext uri="{FF2B5EF4-FFF2-40B4-BE49-F238E27FC236}">
                  <a16:creationId xmlns:a16="http://schemas.microsoft.com/office/drawing/2014/main" id="{EF828516-3289-B8B8-C6C7-FB952CD9C158}"/>
                </a:ext>
              </a:extLst>
            </cdr:cNvPr>
            <cdr:cNvSpPr txBox="1"/>
          </cdr:nvSpPr>
          <cdr:spPr>
            <a:xfrm xmlns:a="http://schemas.openxmlformats.org/drawingml/2006/main">
              <a:off x="2758440" y="2708910"/>
              <a:ext cx="2072640" cy="31242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10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𝜃</m:t>
                  </m:r>
                </m:oMath>
              </a14:m>
              <a:r>
                <a:rPr lang="en-US">
                  <a:effectLst/>
                </a:rPr>
                <a:t>°</a:t>
              </a:r>
            </a:p>
            <a:p xmlns:a="http://schemas.openxmlformats.org/drawingml/2006/main">
              <a:endParaRPr lang="en-US" sz="1100" kern="1200"/>
            </a:p>
          </cdr:txBody>
        </cdr:sp>
      </mc:Choice>
      <mc:Fallback xmlns="">
        <cdr:sp macro="" textlink="">
          <cdr:nvSpPr>
            <cdr:cNvPr id="4" name="TextBox 3">
              <a:extLst xmlns:a="http://schemas.openxmlformats.org/drawingml/2006/main">
                <a:ext uri="{FF2B5EF4-FFF2-40B4-BE49-F238E27FC236}">
                  <a16:creationId xmlns:a16="http://schemas.microsoft.com/office/drawing/2014/main" id="{EF828516-3289-B8B8-C6C7-FB952CD9C158}"/>
                </a:ext>
              </a:extLst>
            </cdr:cNvPr>
            <cdr:cNvSpPr txBox="1"/>
          </cdr:nvSpPr>
          <cdr:spPr>
            <a:xfrm xmlns:a="http://schemas.openxmlformats.org/drawingml/2006/main">
              <a:off x="2758440" y="2708910"/>
              <a:ext cx="2072640" cy="31242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effectLst/>
                  <a:latin typeface="+mn-lt"/>
                  <a:ea typeface="+mn-ea"/>
                  <a:cs typeface="+mn-cs"/>
                </a:rPr>
                <a:t>𝜃</a:t>
              </a:r>
              <a:r>
                <a:rPr lang="en-US">
                  <a:effectLst/>
                </a:rPr>
                <a:t>°</a:t>
              </a:r>
            </a:p>
            <a:p xmlns:a="http://schemas.openxmlformats.org/drawingml/2006/main">
              <a:endParaRPr lang="en-US" sz="1100" kern="1200"/>
            </a:p>
          </cdr:txBody>
        </cdr:sp>
      </mc:Fallback>
    </mc:AlternateContent>
  </cdr:relSizeAnchor>
  <cdr:relSizeAnchor xmlns:cdr="http://schemas.openxmlformats.org/drawingml/2006/chartDrawing">
    <cdr:from>
      <cdr:x>0.77794</cdr:x>
      <cdr:y>0</cdr:y>
    </cdr:from>
    <cdr:to>
      <cdr:x>0.82884</cdr:x>
      <cdr:y>0.15682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672AF364-5017-A4F2-1976-67F6F1056C07}"/>
            </a:ext>
          </a:extLst>
        </cdr:cNvPr>
        <cdr:cNvSpPr txBox="1"/>
      </cdr:nvSpPr>
      <cdr:spPr>
        <a:xfrm xmlns:a="http://schemas.openxmlformats.org/drawingml/2006/main" rot="16200000">
          <a:off x="3841750" y="118110"/>
          <a:ext cx="49530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5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0.07134</cdr:x>
      <cdr:y>0.32371</cdr:y>
    </cdr:from>
    <cdr:to>
      <cdr:x>0.11439</cdr:x>
      <cdr:y>0.51384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FA83EB5-15B4-9C3A-31FD-3D42228788DA}"/>
            </a:ext>
          </a:extLst>
        </cdr:cNvPr>
        <cdr:cNvSpPr txBox="1"/>
      </cdr:nvSpPr>
      <cdr:spPr>
        <a:xfrm xmlns:a="http://schemas.openxmlformats.org/drawingml/2006/main" rot="16200000">
          <a:off x="274320" y="1192530"/>
          <a:ext cx="60198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Ymax</a:t>
          </a:r>
        </a:p>
      </cdr:txBody>
    </cdr:sp>
  </cdr:relSizeAnchor>
  <cdr:relSizeAnchor xmlns:cdr="http://schemas.openxmlformats.org/drawingml/2006/chartDrawing">
    <cdr:from>
      <cdr:x>0.56458</cdr:x>
      <cdr:y>0.8231</cdr:y>
    </cdr:from>
    <cdr:to>
      <cdr:x>0.60788</cdr:x>
      <cdr:y>0.91746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545CE555-6609-767E-F7A8-F3947BA5741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497580" y="2606040"/>
          <a:ext cx="268247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441960</xdr:colOff>
      <xdr:row>9</xdr:row>
      <xdr:rowOff>11430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A383F0-7B6E-5969-8125-4F83F73F8A7E}"/>
            </a:ext>
          </a:extLst>
        </xdr:cNvPr>
        <xdr:cNvSpPr txBox="1"/>
      </xdr:nvSpPr>
      <xdr:spPr>
        <a:xfrm>
          <a:off x="3063240" y="1703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0</xdr:col>
      <xdr:colOff>38100</xdr:colOff>
      <xdr:row>11</xdr:row>
      <xdr:rowOff>3810</xdr:rowOff>
    </xdr:from>
    <xdr:ext cx="1833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B682535-91A0-02E6-2027-C07908805541}"/>
                </a:ext>
              </a:extLst>
            </xdr:cNvPr>
            <xdr:cNvSpPr txBox="1"/>
          </xdr:nvSpPr>
          <xdr:spPr>
            <a:xfrm>
              <a:off x="38100" y="2068830"/>
              <a:ext cx="183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B682535-91A0-02E6-2027-C07908805541}"/>
                </a:ext>
              </a:extLst>
            </xdr:cNvPr>
            <xdr:cNvSpPr txBox="1"/>
          </xdr:nvSpPr>
          <xdr:spPr>
            <a:xfrm>
              <a:off x="38100" y="2068830"/>
              <a:ext cx="1833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𝐷_1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38100</xdr:colOff>
      <xdr:row>11</xdr:row>
      <xdr:rowOff>3810</xdr:rowOff>
    </xdr:from>
    <xdr:ext cx="18665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D0969DE-D020-B94A-5F2A-B422311CDB6F}"/>
                </a:ext>
              </a:extLst>
            </xdr:cNvPr>
            <xdr:cNvSpPr txBox="1"/>
          </xdr:nvSpPr>
          <xdr:spPr>
            <a:xfrm>
              <a:off x="1744980" y="2068830"/>
              <a:ext cx="1866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D0969DE-D020-B94A-5F2A-B422311CDB6F}"/>
                </a:ext>
              </a:extLst>
            </xdr:cNvPr>
            <xdr:cNvSpPr txBox="1"/>
          </xdr:nvSpPr>
          <xdr:spPr>
            <a:xfrm>
              <a:off x="1744980" y="2068830"/>
              <a:ext cx="1866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𝐷_2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38100</xdr:colOff>
      <xdr:row>11</xdr:row>
      <xdr:rowOff>3810</xdr:rowOff>
    </xdr:from>
    <xdr:ext cx="14760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64C1DA-E2FB-8D3E-700B-48739D616768}"/>
                </a:ext>
              </a:extLst>
            </xdr:cNvPr>
            <xdr:cNvSpPr txBox="1"/>
          </xdr:nvSpPr>
          <xdr:spPr>
            <a:xfrm>
              <a:off x="3055620" y="2068830"/>
              <a:ext cx="1476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64C1DA-E2FB-8D3E-700B-48739D616768}"/>
                </a:ext>
              </a:extLst>
            </xdr:cNvPr>
            <xdr:cNvSpPr txBox="1"/>
          </xdr:nvSpPr>
          <xdr:spPr>
            <a:xfrm>
              <a:off x="3055620" y="2068830"/>
              <a:ext cx="1476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𝑡_1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38100</xdr:colOff>
      <xdr:row>11</xdr:row>
      <xdr:rowOff>11430</xdr:rowOff>
    </xdr:from>
    <xdr:ext cx="150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9E0A28-8837-96A4-A7AE-8C932613BC52}"/>
                </a:ext>
              </a:extLst>
            </xdr:cNvPr>
            <xdr:cNvSpPr txBox="1"/>
          </xdr:nvSpPr>
          <xdr:spPr>
            <a:xfrm>
              <a:off x="3665220" y="2076450"/>
              <a:ext cx="150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9E0A28-8837-96A4-A7AE-8C932613BC52}"/>
                </a:ext>
              </a:extLst>
            </xdr:cNvPr>
            <xdr:cNvSpPr txBox="1"/>
          </xdr:nvSpPr>
          <xdr:spPr>
            <a:xfrm>
              <a:off x="3665220" y="2076450"/>
              <a:ext cx="150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𝑡_2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579120</xdr:colOff>
      <xdr:row>7</xdr:row>
      <xdr:rowOff>118110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21FF83-067B-4982-8204-2F2AB4A1947F}"/>
            </a:ext>
          </a:extLst>
        </xdr:cNvPr>
        <xdr:cNvSpPr txBox="1"/>
      </xdr:nvSpPr>
      <xdr:spPr>
        <a:xfrm>
          <a:off x="3596640" y="14439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4</xdr:col>
      <xdr:colOff>60960</xdr:colOff>
      <xdr:row>7</xdr:row>
      <xdr:rowOff>57150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BF7AC3-595D-400F-9166-9AF48C4BAF09}"/>
            </a:ext>
          </a:extLst>
        </xdr:cNvPr>
        <xdr:cNvSpPr txBox="1"/>
      </xdr:nvSpPr>
      <xdr:spPr>
        <a:xfrm>
          <a:off x="4297680" y="1383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4</xdr:col>
      <xdr:colOff>434340</xdr:colOff>
      <xdr:row>7</xdr:row>
      <xdr:rowOff>95250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31BA11-9AAD-4BD8-A852-78844A32E95C}"/>
            </a:ext>
          </a:extLst>
        </xdr:cNvPr>
        <xdr:cNvSpPr txBox="1"/>
      </xdr:nvSpPr>
      <xdr:spPr>
        <a:xfrm>
          <a:off x="4671060" y="14211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0</xdr:col>
      <xdr:colOff>251460</xdr:colOff>
      <xdr:row>16</xdr:row>
      <xdr:rowOff>11430</xdr:rowOff>
    </xdr:from>
    <xdr:ext cx="28437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0FBF98B-9ECF-BC78-D1D8-354C34CE34D0}"/>
                </a:ext>
              </a:extLst>
            </xdr:cNvPr>
            <xdr:cNvSpPr txBox="1"/>
          </xdr:nvSpPr>
          <xdr:spPr>
            <a:xfrm>
              <a:off x="251460" y="3036570"/>
              <a:ext cx="2843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0" kern="1200"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0FBF98B-9ECF-BC78-D1D8-354C34CE34D0}"/>
                </a:ext>
              </a:extLst>
            </xdr:cNvPr>
            <xdr:cNvSpPr txBox="1"/>
          </xdr:nvSpPr>
          <xdr:spPr>
            <a:xfrm>
              <a:off x="251460" y="3036570"/>
              <a:ext cx="2843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𝑡_1−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525780</xdr:colOff>
      <xdr:row>16</xdr:row>
      <xdr:rowOff>19050</xdr:rowOff>
    </xdr:from>
    <xdr:ext cx="150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9D2C1D8-2835-78D0-8269-4DF949AF4218}"/>
                </a:ext>
              </a:extLst>
            </xdr:cNvPr>
            <xdr:cNvSpPr txBox="1"/>
          </xdr:nvSpPr>
          <xdr:spPr>
            <a:xfrm>
              <a:off x="525780" y="3044190"/>
              <a:ext cx="150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9D2C1D8-2835-78D0-8269-4DF949AF4218}"/>
                </a:ext>
              </a:extLst>
            </xdr:cNvPr>
            <xdr:cNvSpPr txBox="1"/>
          </xdr:nvSpPr>
          <xdr:spPr>
            <a:xfrm>
              <a:off x="525780" y="3044190"/>
              <a:ext cx="150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𝑡_2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541020</xdr:colOff>
      <xdr:row>10</xdr:row>
      <xdr:rowOff>163830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E7E12C7-2C4B-CA31-181D-2510797C60F1}"/>
            </a:ext>
          </a:extLst>
        </xdr:cNvPr>
        <xdr:cNvSpPr txBox="1"/>
      </xdr:nvSpPr>
      <xdr:spPr>
        <a:xfrm>
          <a:off x="660654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2</xdr:col>
      <xdr:colOff>281940</xdr:colOff>
      <xdr:row>16</xdr:row>
      <xdr:rowOff>11430</xdr:rowOff>
    </xdr:from>
    <xdr:ext cx="41690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B24C65-B535-7728-FFEE-02E165785F0B}"/>
                </a:ext>
              </a:extLst>
            </xdr:cNvPr>
            <xdr:cNvSpPr txBox="1"/>
          </xdr:nvSpPr>
          <xdr:spPr>
            <a:xfrm>
              <a:off x="3299460" y="3036570"/>
              <a:ext cx="41690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en-US" sz="1100" kern="1200"/>
                <a:t> * ∆𝑡 </a:t>
              </a: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B24C65-B535-7728-FFEE-02E165785F0B}"/>
                </a:ext>
              </a:extLst>
            </xdr:cNvPr>
            <xdr:cNvSpPr txBox="1"/>
          </xdr:nvSpPr>
          <xdr:spPr>
            <a:xfrm>
              <a:off x="3299460" y="3036570"/>
              <a:ext cx="41690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𝑡_1</a:t>
              </a:r>
              <a:r>
                <a:rPr lang="en-US" sz="1100" kern="1200"/>
                <a:t> * ∆𝑡 </a:t>
              </a:r>
            </a:p>
          </xdr:txBody>
        </xdr:sp>
      </mc:Fallback>
    </mc:AlternateContent>
    <xdr:clientData/>
  </xdr:oneCellAnchor>
  <xdr:oneCellAnchor>
    <xdr:from>
      <xdr:col>7</xdr:col>
      <xdr:colOff>53340</xdr:colOff>
      <xdr:row>11</xdr:row>
      <xdr:rowOff>11430</xdr:rowOff>
    </xdr:from>
    <xdr:ext cx="19248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6CC53D-97B5-9375-CDA5-B33BFE351A52}"/>
                </a:ext>
              </a:extLst>
            </xdr:cNvPr>
            <xdr:cNvSpPr txBox="1"/>
          </xdr:nvSpPr>
          <xdr:spPr>
            <a:xfrm>
              <a:off x="6118860" y="2091690"/>
              <a:ext cx="1924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𝑟</m:t>
                      </m:r>
                    </m:sub>
                  </m:sSub>
                </m:oMath>
              </a14:m>
              <a:r>
                <a:rPr lang="en-US" sz="1100" kern="1200"/>
                <a:t>=</a:t>
              </a: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6CC53D-97B5-9375-CDA5-B33BFE351A52}"/>
                </a:ext>
              </a:extLst>
            </xdr:cNvPr>
            <xdr:cNvSpPr txBox="1"/>
          </xdr:nvSpPr>
          <xdr:spPr>
            <a:xfrm>
              <a:off x="6118860" y="2091690"/>
              <a:ext cx="1924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𝐹_𝑟</a:t>
              </a:r>
              <a:r>
                <a:rPr lang="en-US" sz="1100" kern="1200"/>
                <a:t>=</a:t>
              </a:r>
            </a:p>
          </xdr:txBody>
        </xdr:sp>
      </mc:Fallback>
    </mc:AlternateContent>
    <xdr:clientData/>
  </xdr:oneCellAnchor>
  <xdr:oneCellAnchor>
    <xdr:from>
      <xdr:col>7</xdr:col>
      <xdr:colOff>259080</xdr:colOff>
      <xdr:row>10</xdr:row>
      <xdr:rowOff>179070</xdr:rowOff>
    </xdr:from>
    <xdr:ext cx="257571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C6125CB-1DB8-12E7-D6E1-5A0DDB284FE8}"/>
                </a:ext>
              </a:extLst>
            </xdr:cNvPr>
            <xdr:cNvSpPr txBox="1"/>
          </xdr:nvSpPr>
          <xdr:spPr>
            <a:xfrm>
              <a:off x="6324600" y="2068830"/>
              <a:ext cx="257571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 −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C6125CB-1DB8-12E7-D6E1-5A0DDB284FE8}"/>
                </a:ext>
              </a:extLst>
            </xdr:cNvPr>
            <xdr:cNvSpPr txBox="1"/>
          </xdr:nvSpPr>
          <xdr:spPr>
            <a:xfrm>
              <a:off x="6324600" y="2068830"/>
              <a:ext cx="257571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𝐹_(𝑔 −)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502920</xdr:colOff>
      <xdr:row>11</xdr:row>
      <xdr:rowOff>3810</xdr:rowOff>
    </xdr:from>
    <xdr:ext cx="1774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DE8CE10-6398-976A-5316-4F939673C1D3}"/>
                </a:ext>
              </a:extLst>
            </xdr:cNvPr>
            <xdr:cNvSpPr txBox="1"/>
          </xdr:nvSpPr>
          <xdr:spPr>
            <a:xfrm>
              <a:off x="6568440" y="2084070"/>
              <a:ext cx="1774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DE8CE10-6398-976A-5316-4F939673C1D3}"/>
                </a:ext>
              </a:extLst>
            </xdr:cNvPr>
            <xdr:cNvSpPr txBox="1"/>
          </xdr:nvSpPr>
          <xdr:spPr>
            <a:xfrm>
              <a:off x="6568440" y="2084070"/>
              <a:ext cx="1774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𝐹_𝑑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541020</xdr:colOff>
      <xdr:row>11</xdr:row>
      <xdr:rowOff>163830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20791AE-CA23-4C1D-998D-60FA238C1918}"/>
            </a:ext>
          </a:extLst>
        </xdr:cNvPr>
        <xdr:cNvSpPr txBox="1"/>
      </xdr:nvSpPr>
      <xdr:spPr>
        <a:xfrm>
          <a:off x="660654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53340</xdr:colOff>
      <xdr:row>12</xdr:row>
      <xdr:rowOff>11430</xdr:rowOff>
    </xdr:from>
    <xdr:ext cx="19248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E2D453C-1D2F-404C-9FD9-995E16F36FF9}"/>
                </a:ext>
              </a:extLst>
            </xdr:cNvPr>
            <xdr:cNvSpPr txBox="1"/>
          </xdr:nvSpPr>
          <xdr:spPr>
            <a:xfrm>
              <a:off x="6118860" y="2091690"/>
              <a:ext cx="1924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𝑟</m:t>
                      </m:r>
                    </m:sub>
                  </m:sSub>
                </m:oMath>
              </a14:m>
              <a:r>
                <a:rPr lang="en-US" sz="1100" kern="1200"/>
                <a:t>=</a:t>
              </a: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E2D453C-1D2F-404C-9FD9-995E16F36FF9}"/>
                </a:ext>
              </a:extLst>
            </xdr:cNvPr>
            <xdr:cNvSpPr txBox="1"/>
          </xdr:nvSpPr>
          <xdr:spPr>
            <a:xfrm>
              <a:off x="6118860" y="2091690"/>
              <a:ext cx="1924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𝐹_𝑟</a:t>
              </a:r>
              <a:r>
                <a:rPr lang="en-US" sz="1100" kern="1200"/>
                <a:t>=</a:t>
              </a:r>
            </a:p>
          </xdr:txBody>
        </xdr:sp>
      </mc:Fallback>
    </mc:AlternateContent>
    <xdr:clientData/>
  </xdr:oneCellAnchor>
  <xdr:oneCellAnchor>
    <xdr:from>
      <xdr:col>7</xdr:col>
      <xdr:colOff>259080</xdr:colOff>
      <xdr:row>12</xdr:row>
      <xdr:rowOff>11430</xdr:rowOff>
    </xdr:from>
    <xdr:ext cx="74584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E94CEA5-A908-4B3D-8EEB-3648226272E0}"/>
            </a:ext>
          </a:extLst>
        </xdr:cNvPr>
        <xdr:cNvSpPr txBox="1"/>
      </xdr:nvSpPr>
      <xdr:spPr>
        <a:xfrm>
          <a:off x="6324600" y="2282190"/>
          <a:ext cx="74584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kern="1200"/>
            <a:t>45.05</a:t>
          </a:r>
          <a:r>
            <a:rPr lang="en-US" sz="1100" kern="1200" baseline="0"/>
            <a:t> N - 7 N</a:t>
          </a:r>
          <a:endParaRPr lang="en-US" sz="1100" kern="1200"/>
        </a:p>
      </xdr:txBody>
    </xdr:sp>
    <xdr:clientData/>
  </xdr:oneCellAnchor>
  <xdr:oneCellAnchor>
    <xdr:from>
      <xdr:col>7</xdr:col>
      <xdr:colOff>495300</xdr:colOff>
      <xdr:row>12</xdr:row>
      <xdr:rowOff>26670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DE372A1-23BA-448D-A512-ED4C5390F340}"/>
            </a:ext>
          </a:extLst>
        </xdr:cNvPr>
        <xdr:cNvSpPr txBox="1"/>
      </xdr:nvSpPr>
      <xdr:spPr>
        <a:xfrm>
          <a:off x="6560820" y="22974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11</xdr:col>
      <xdr:colOff>350520</xdr:colOff>
      <xdr:row>11</xdr:row>
      <xdr:rowOff>72390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189893B-4F6C-432E-8B37-90836FF84630}"/>
            </a:ext>
          </a:extLst>
        </xdr:cNvPr>
        <xdr:cNvSpPr txBox="1"/>
      </xdr:nvSpPr>
      <xdr:spPr>
        <a:xfrm>
          <a:off x="8854440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541020</xdr:colOff>
      <xdr:row>12</xdr:row>
      <xdr:rowOff>163830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F644137-AC78-4F07-B9FB-E03DC9B2FD52}"/>
            </a:ext>
          </a:extLst>
        </xdr:cNvPr>
        <xdr:cNvSpPr txBox="1"/>
      </xdr:nvSpPr>
      <xdr:spPr>
        <a:xfrm>
          <a:off x="6606540" y="22440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53340</xdr:colOff>
      <xdr:row>13</xdr:row>
      <xdr:rowOff>11430</xdr:rowOff>
    </xdr:from>
    <xdr:ext cx="19248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3901409-A4C7-4389-804D-27436EC726EA}"/>
                </a:ext>
              </a:extLst>
            </xdr:cNvPr>
            <xdr:cNvSpPr txBox="1"/>
          </xdr:nvSpPr>
          <xdr:spPr>
            <a:xfrm>
              <a:off x="6118860" y="2282190"/>
              <a:ext cx="1924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𝑟</m:t>
                      </m:r>
                    </m:sub>
                  </m:sSub>
                </m:oMath>
              </a14:m>
              <a:r>
                <a:rPr lang="en-US" sz="1100" kern="1200"/>
                <a:t>=</a:t>
              </a: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3901409-A4C7-4389-804D-27436EC726EA}"/>
                </a:ext>
              </a:extLst>
            </xdr:cNvPr>
            <xdr:cNvSpPr txBox="1"/>
          </xdr:nvSpPr>
          <xdr:spPr>
            <a:xfrm>
              <a:off x="6118860" y="2282190"/>
              <a:ext cx="1924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𝐹_𝑟</a:t>
              </a:r>
              <a:r>
                <a:rPr lang="en-US" sz="1100" kern="1200"/>
                <a:t>=</a:t>
              </a:r>
            </a:p>
          </xdr:txBody>
        </xdr:sp>
      </mc:Fallback>
    </mc:AlternateContent>
    <xdr:clientData/>
  </xdr:oneCellAnchor>
  <xdr:oneCellAnchor>
    <xdr:from>
      <xdr:col>7</xdr:col>
      <xdr:colOff>259080</xdr:colOff>
      <xdr:row>13</xdr:row>
      <xdr:rowOff>11430</xdr:rowOff>
    </xdr:from>
    <xdr:ext cx="444481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6374250-F758-4F18-80AB-CC2F421F5797}"/>
            </a:ext>
          </a:extLst>
        </xdr:cNvPr>
        <xdr:cNvSpPr txBox="1"/>
      </xdr:nvSpPr>
      <xdr:spPr>
        <a:xfrm>
          <a:off x="6324600" y="2472690"/>
          <a:ext cx="444481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kern="1200"/>
            <a:t>38.05</a:t>
          </a:r>
          <a:r>
            <a:rPr lang="en-US" sz="1100" kern="1200" baseline="0"/>
            <a:t> N</a:t>
          </a:r>
          <a:endParaRPr lang="en-US" sz="1100" kern="1200"/>
        </a:p>
      </xdr:txBody>
    </xdr:sp>
    <xdr:clientData/>
  </xdr:oneCellAnchor>
  <xdr:oneCellAnchor>
    <xdr:from>
      <xdr:col>7</xdr:col>
      <xdr:colOff>495300</xdr:colOff>
      <xdr:row>13</xdr:row>
      <xdr:rowOff>26670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2E3803B-215F-4AA5-840A-459E1687359F}"/>
            </a:ext>
          </a:extLst>
        </xdr:cNvPr>
        <xdr:cNvSpPr txBox="1"/>
      </xdr:nvSpPr>
      <xdr:spPr>
        <a:xfrm>
          <a:off x="6560820" y="22974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0</xdr:col>
      <xdr:colOff>15240</xdr:colOff>
      <xdr:row>9</xdr:row>
      <xdr:rowOff>3810</xdr:rowOff>
    </xdr:from>
    <xdr:ext cx="4330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591622E-EF8F-3DA3-6A43-D8654790F3CF}"/>
                </a:ext>
              </a:extLst>
            </xdr:cNvPr>
            <xdr:cNvSpPr txBox="1"/>
          </xdr:nvSpPr>
          <xdr:spPr>
            <a:xfrm>
              <a:off x="15240" y="1710690"/>
              <a:ext cx="4330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 </m:t>
                      </m:r>
                    </m:sub>
                  </m:sSub>
                </m:oMath>
              </a14:m>
              <a:r>
                <a:rPr lang="en-US" sz="1100" kern="1200"/>
                <a:t>= 7N</a:t>
              </a: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591622E-EF8F-3DA3-6A43-D8654790F3CF}"/>
                </a:ext>
              </a:extLst>
            </xdr:cNvPr>
            <xdr:cNvSpPr txBox="1"/>
          </xdr:nvSpPr>
          <xdr:spPr>
            <a:xfrm>
              <a:off x="15240" y="1710690"/>
              <a:ext cx="4330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𝐹_(𝑑 )</a:t>
              </a:r>
              <a:r>
                <a:rPr lang="en-US" sz="1100" kern="1200"/>
                <a:t>= 7N</a:t>
              </a:r>
            </a:p>
          </xdr:txBody>
        </xdr:sp>
      </mc:Fallback>
    </mc:AlternateContent>
    <xdr:clientData/>
  </xdr:oneCellAnchor>
  <xdr:oneCellAnchor>
    <xdr:from>
      <xdr:col>2</xdr:col>
      <xdr:colOff>68580</xdr:colOff>
      <xdr:row>2</xdr:row>
      <xdr:rowOff>186690</xdr:rowOff>
    </xdr:from>
    <xdr:ext cx="715004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F8241A9-FE92-9E1B-FC46-B148427DBA75}"/>
                </a:ext>
              </a:extLst>
            </xdr:cNvPr>
            <xdr:cNvSpPr txBox="1"/>
          </xdr:nvSpPr>
          <xdr:spPr>
            <a:xfrm>
              <a:off x="3086100" y="560070"/>
              <a:ext cx="71500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 ∗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F8241A9-FE92-9E1B-FC46-B148427DBA75}"/>
                </a:ext>
              </a:extLst>
            </xdr:cNvPr>
            <xdr:cNvSpPr txBox="1"/>
          </xdr:nvSpPr>
          <xdr:spPr>
            <a:xfrm>
              <a:off x="3086100" y="560070"/>
              <a:ext cx="71500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𝐹_𝑔=𝑚 ∗𝑔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15240</xdr:colOff>
      <xdr:row>4</xdr:row>
      <xdr:rowOff>102870</xdr:rowOff>
    </xdr:from>
    <xdr:ext cx="1075551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0E1540B-924C-4B4B-BF9B-B14C29392576}"/>
                </a:ext>
              </a:extLst>
            </xdr:cNvPr>
            <xdr:cNvSpPr txBox="1"/>
          </xdr:nvSpPr>
          <xdr:spPr>
            <a:xfrm>
              <a:off x="3032760" y="857250"/>
              <a:ext cx="1075551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=5 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𝑘𝑔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 ∗9.81 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0E1540B-924C-4B4B-BF9B-B14C29392576}"/>
                </a:ext>
              </a:extLst>
            </xdr:cNvPr>
            <xdr:cNvSpPr txBox="1"/>
          </xdr:nvSpPr>
          <xdr:spPr>
            <a:xfrm>
              <a:off x="3032760" y="857250"/>
              <a:ext cx="1075551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𝐹_𝑔=5 𝑘𝑔 ∗9.81 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426720</xdr:colOff>
      <xdr:row>4</xdr:row>
      <xdr:rowOff>53340</xdr:rowOff>
    </xdr:from>
    <xdr:ext cx="182880" cy="293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D1DF9A1-86DE-68A4-2A09-08FBB0E5D566}"/>
                </a:ext>
              </a:extLst>
            </xdr:cNvPr>
            <xdr:cNvSpPr txBox="1"/>
          </xdr:nvSpPr>
          <xdr:spPr>
            <a:xfrm>
              <a:off x="4053840" y="807720"/>
              <a:ext cx="182880" cy="293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sSup>
                          <m:sSup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D1DF9A1-86DE-68A4-2A09-08FBB0E5D566}"/>
                </a:ext>
              </a:extLst>
            </xdr:cNvPr>
            <xdr:cNvSpPr txBox="1"/>
          </xdr:nvSpPr>
          <xdr:spPr>
            <a:xfrm>
              <a:off x="4053840" y="807720"/>
              <a:ext cx="182880" cy="293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𝑚/𝑠^2 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7620</xdr:colOff>
      <xdr:row>5</xdr:row>
      <xdr:rowOff>186690</xdr:rowOff>
    </xdr:from>
    <xdr:ext cx="822854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032FC9-1B91-D208-7C7D-468AA26C57DF}"/>
                </a:ext>
              </a:extLst>
            </xdr:cNvPr>
            <xdr:cNvSpPr txBox="1"/>
          </xdr:nvSpPr>
          <xdr:spPr>
            <a:xfrm>
              <a:off x="3025140" y="1131570"/>
              <a:ext cx="82285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=49.05 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032FC9-1B91-D208-7C7D-468AA26C57DF}"/>
                </a:ext>
              </a:extLst>
            </xdr:cNvPr>
            <xdr:cNvSpPr txBox="1"/>
          </xdr:nvSpPr>
          <xdr:spPr>
            <a:xfrm>
              <a:off x="3025140" y="1131570"/>
              <a:ext cx="822854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𝐹_𝑔=49.05 𝑁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182880</xdr:colOff>
      <xdr:row>6</xdr:row>
      <xdr:rowOff>41910</xdr:rowOff>
    </xdr:from>
    <xdr:ext cx="1266309" cy="3203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5B64044-7A2C-1D1D-0C3A-7D5FB9F56E97}"/>
                </a:ext>
              </a:extLst>
            </xdr:cNvPr>
            <xdr:cNvSpPr txBox="1"/>
          </xdr:nvSpPr>
          <xdr:spPr>
            <a:xfrm>
              <a:off x="6248400" y="1177290"/>
              <a:ext cx="1266309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24.5 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+22.5 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5B64044-7A2C-1D1D-0C3A-7D5FB9F56E97}"/>
                </a:ext>
              </a:extLst>
            </xdr:cNvPr>
            <xdr:cNvSpPr txBox="1"/>
          </xdr:nvSpPr>
          <xdr:spPr>
            <a:xfrm>
              <a:off x="6248400" y="1177290"/>
              <a:ext cx="1266309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b="0" i="0" kern="1200">
                  <a:latin typeface="Cambria Math" panose="02040503050406030204" pitchFamily="18" charset="0"/>
                </a:rPr>
                <a:t>24.5 𝑚𝑚+22.5 𝑚𝑚)/2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541020</xdr:colOff>
      <xdr:row>2</xdr:row>
      <xdr:rowOff>186690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E2B7666-054F-0311-B425-8FE33B9819C9}"/>
            </a:ext>
          </a:extLst>
        </xdr:cNvPr>
        <xdr:cNvSpPr txBox="1"/>
      </xdr:nvSpPr>
      <xdr:spPr>
        <a:xfrm>
          <a:off x="6606540" y="560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190500</xdr:colOff>
      <xdr:row>3</xdr:row>
      <xdr:rowOff>11430</xdr:rowOff>
    </xdr:from>
    <xdr:ext cx="506292" cy="4377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5CFFD1F-0E62-B791-B802-307E694D12E7}"/>
                </a:ext>
              </a:extLst>
            </xdr:cNvPr>
            <xdr:cNvSpPr txBox="1"/>
          </xdr:nvSpPr>
          <xdr:spPr>
            <a:xfrm>
              <a:off x="6256020" y="575310"/>
              <a:ext cx="506292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5CFFD1F-0E62-B791-B802-307E694D12E7}"/>
                </a:ext>
              </a:extLst>
            </xdr:cNvPr>
            <xdr:cNvSpPr txBox="1"/>
          </xdr:nvSpPr>
          <xdr:spPr>
            <a:xfrm>
              <a:off x="6256020" y="575310"/>
              <a:ext cx="506292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b="0" i="0" kern="1200">
                  <a:latin typeface="Cambria Math" panose="02040503050406030204" pitchFamily="18" charset="0"/>
                </a:rPr>
                <a:t>𝐷_1/2+𝐷_2/2)/2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502920</xdr:colOff>
      <xdr:row>8</xdr:row>
      <xdr:rowOff>3810</xdr:rowOff>
    </xdr:from>
    <xdr:ext cx="449034" cy="1777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402DD8B-4780-F02C-3357-00FA89200F3A}"/>
                </a:ext>
              </a:extLst>
            </xdr:cNvPr>
            <xdr:cNvSpPr txBox="1"/>
          </xdr:nvSpPr>
          <xdr:spPr>
            <a:xfrm>
              <a:off x="6568440" y="1520190"/>
              <a:ext cx="44903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−5</m:t>
                        </m:r>
                      </m:sup>
                    </m:sSup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402DD8B-4780-F02C-3357-00FA89200F3A}"/>
                </a:ext>
              </a:extLst>
            </xdr:cNvPr>
            <xdr:cNvSpPr txBox="1"/>
          </xdr:nvSpPr>
          <xdr:spPr>
            <a:xfrm>
              <a:off x="6568440" y="1520190"/>
              <a:ext cx="44903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10^(−5)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8</xdr:col>
      <xdr:colOff>358140</xdr:colOff>
      <xdr:row>17</xdr:row>
      <xdr:rowOff>72390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112077E-9B21-EB3F-9451-0968426A36CE}"/>
            </a:ext>
          </a:extLst>
        </xdr:cNvPr>
        <xdr:cNvSpPr txBox="1"/>
      </xdr:nvSpPr>
      <xdr:spPr>
        <a:xfrm>
          <a:off x="7033260" y="329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350520</xdr:colOff>
      <xdr:row>16</xdr:row>
      <xdr:rowOff>11430</xdr:rowOff>
    </xdr:from>
    <xdr:ext cx="6119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6BE880F-62A6-FB0B-412B-9711575C579C}"/>
                </a:ext>
              </a:extLst>
            </xdr:cNvPr>
            <xdr:cNvSpPr txBox="1"/>
          </xdr:nvSpPr>
          <xdr:spPr>
            <a:xfrm>
              <a:off x="6416040" y="3044190"/>
              <a:ext cx="6119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 kern="120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𝜋</m:t>
                  </m:r>
                </m:oMath>
              </a14:m>
              <a:r>
                <a:rPr lang="en-US" sz="1100" kern="1200"/>
                <a:t> * r * n * </a:t>
              </a: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6BE880F-62A6-FB0B-412B-9711575C579C}"/>
                </a:ext>
              </a:extLst>
            </xdr:cNvPr>
            <xdr:cNvSpPr txBox="1"/>
          </xdr:nvSpPr>
          <xdr:spPr>
            <a:xfrm>
              <a:off x="6416040" y="3044190"/>
              <a:ext cx="6119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kern="1200"/>
                <a:t> * r * n * </a:t>
              </a:r>
            </a:p>
          </xdr:txBody>
        </xdr:sp>
      </mc:Fallback>
    </mc:AlternateContent>
    <xdr:clientData/>
  </xdr:oneCellAnchor>
  <xdr:oneCellAnchor>
    <xdr:from>
      <xdr:col>8</xdr:col>
      <xdr:colOff>304800</xdr:colOff>
      <xdr:row>16</xdr:row>
      <xdr:rowOff>3810</xdr:rowOff>
    </xdr:from>
    <xdr:ext cx="1540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D0EE6D0A-F5D3-3E7F-F3C8-E9C9B1D91336}"/>
                </a:ext>
              </a:extLst>
            </xdr:cNvPr>
            <xdr:cNvSpPr txBox="1"/>
          </xdr:nvSpPr>
          <xdr:spPr>
            <a:xfrm>
              <a:off x="6979920" y="3036570"/>
              <a:ext cx="1540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D0EE6D0A-F5D3-3E7F-F3C8-E9C9B1D91336}"/>
                </a:ext>
              </a:extLst>
            </xdr:cNvPr>
            <xdr:cNvSpPr txBox="1"/>
          </xdr:nvSpPr>
          <xdr:spPr>
            <a:xfrm>
              <a:off x="6979920" y="3036570"/>
              <a:ext cx="1540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𝐹_𝑟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342900</xdr:colOff>
      <xdr:row>17</xdr:row>
      <xdr:rowOff>11430</xdr:rowOff>
    </xdr:from>
    <xdr:ext cx="7492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D76888D-1186-6F86-0014-0DB5DB2650BE}"/>
                </a:ext>
              </a:extLst>
            </xdr:cNvPr>
            <xdr:cNvSpPr txBox="1"/>
          </xdr:nvSpPr>
          <xdr:spPr>
            <a:xfrm>
              <a:off x="6408420" y="3234690"/>
              <a:ext cx="7492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 kern="120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𝜋</m:t>
                  </m:r>
                </m:oMath>
              </a14:m>
              <a:r>
                <a:rPr lang="en-US" sz="1100" kern="1200"/>
                <a:t> * 23.5 m * </a:t>
              </a: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D76888D-1186-6F86-0014-0DB5DB2650BE}"/>
                </a:ext>
              </a:extLst>
            </xdr:cNvPr>
            <xdr:cNvSpPr txBox="1"/>
          </xdr:nvSpPr>
          <xdr:spPr>
            <a:xfrm>
              <a:off x="6408420" y="3234690"/>
              <a:ext cx="7492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kern="1200"/>
                <a:t> * 23.5 m * </a:t>
              </a:r>
            </a:p>
          </xdr:txBody>
        </xdr:sp>
      </mc:Fallback>
    </mc:AlternateContent>
    <xdr:clientData/>
  </xdr:oneCellAnchor>
  <xdr:oneCellAnchor>
    <xdr:from>
      <xdr:col>8</xdr:col>
      <xdr:colOff>449580</xdr:colOff>
      <xdr:row>17</xdr:row>
      <xdr:rowOff>3810</xdr:rowOff>
    </xdr:from>
    <xdr:ext cx="1223476" cy="174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60E7FD5-D2EA-399B-15AF-E26564738C2C}"/>
                </a:ext>
              </a:extLst>
            </xdr:cNvPr>
            <xdr:cNvSpPr txBox="1"/>
          </xdr:nvSpPr>
          <xdr:spPr>
            <a:xfrm>
              <a:off x="7124700" y="3227070"/>
              <a:ext cx="1223476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−4</m:t>
                      </m:r>
                    </m:sup>
                  </m:sSup>
                </m:oMath>
              </a14:m>
              <a:r>
                <a:rPr lang="en-US" sz="1100" kern="1200"/>
                <a:t> * 200 * 38.05 N</a:t>
              </a:r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60E7FD5-D2EA-399B-15AF-E26564738C2C}"/>
                </a:ext>
              </a:extLst>
            </xdr:cNvPr>
            <xdr:cNvSpPr txBox="1"/>
          </xdr:nvSpPr>
          <xdr:spPr>
            <a:xfrm>
              <a:off x="7124700" y="3227070"/>
              <a:ext cx="1223476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10^(−4)</a:t>
              </a:r>
              <a:r>
                <a:rPr lang="en-US" sz="1100" kern="1200"/>
                <a:t> * 200 * 38.05 N</a:t>
              </a:r>
            </a:p>
          </xdr:txBody>
        </xdr:sp>
      </mc:Fallback>
    </mc:AlternateContent>
    <xdr:clientData/>
  </xdr:oneCellAnchor>
  <xdr:oneCellAnchor>
    <xdr:from>
      <xdr:col>7</xdr:col>
      <xdr:colOff>320040</xdr:colOff>
      <xdr:row>18</xdr:row>
      <xdr:rowOff>11430</xdr:rowOff>
    </xdr:from>
    <xdr:ext cx="8191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F4755D2-BAFB-A07D-6106-614C191C1A35}"/>
                </a:ext>
              </a:extLst>
            </xdr:cNvPr>
            <xdr:cNvSpPr txBox="1"/>
          </xdr:nvSpPr>
          <xdr:spPr>
            <a:xfrm>
              <a:off x="6385560" y="3425190"/>
              <a:ext cx="8191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 kern="120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𝜋</m:t>
                  </m:r>
                </m:oMath>
              </a14:m>
              <a:r>
                <a:rPr lang="en-US" sz="1100" kern="1200"/>
                <a:t> * 17.8835</a:t>
              </a:r>
              <a:r>
                <a:rPr lang="en-US" sz="1100" kern="1200" baseline="0"/>
                <a:t> * 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F4755D2-BAFB-A07D-6106-614C191C1A35}"/>
                </a:ext>
              </a:extLst>
            </xdr:cNvPr>
            <xdr:cNvSpPr txBox="1"/>
          </xdr:nvSpPr>
          <xdr:spPr>
            <a:xfrm>
              <a:off x="6385560" y="3425190"/>
              <a:ext cx="8191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kern="1200"/>
                <a:t> * 17.8835</a:t>
              </a:r>
              <a:r>
                <a:rPr lang="en-US" sz="1100" kern="1200" baseline="0"/>
                <a:t> * 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8</xdr:col>
      <xdr:colOff>480060</xdr:colOff>
      <xdr:row>17</xdr:row>
      <xdr:rowOff>186690</xdr:rowOff>
    </xdr:from>
    <xdr:ext cx="602344" cy="174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95B855CD-C153-EDE0-EAAF-31884E72ADB0}"/>
                </a:ext>
              </a:extLst>
            </xdr:cNvPr>
            <xdr:cNvSpPr txBox="1"/>
          </xdr:nvSpPr>
          <xdr:spPr>
            <a:xfrm>
              <a:off x="7155180" y="3409950"/>
              <a:ext cx="602344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−4</m:t>
                      </m:r>
                    </m:sup>
                  </m:sSup>
                </m:oMath>
              </a14:m>
              <a:r>
                <a:rPr lang="en-US" sz="1100" kern="1200"/>
                <a:t> N*m</a:t>
              </a:r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95B855CD-C153-EDE0-EAAF-31884E72ADB0}"/>
                </a:ext>
              </a:extLst>
            </xdr:cNvPr>
            <xdr:cNvSpPr txBox="1"/>
          </xdr:nvSpPr>
          <xdr:spPr>
            <a:xfrm>
              <a:off x="7155180" y="3409950"/>
              <a:ext cx="602344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10^(−4)</a:t>
              </a:r>
              <a:r>
                <a:rPr lang="en-US" sz="1100" kern="1200"/>
                <a:t> N*m</a:t>
              </a:r>
            </a:p>
          </xdr:txBody>
        </xdr:sp>
      </mc:Fallback>
    </mc:AlternateContent>
    <xdr:clientData/>
  </xdr:oneCellAnchor>
  <xdr:oneCellAnchor>
    <xdr:from>
      <xdr:col>7</xdr:col>
      <xdr:colOff>327660</xdr:colOff>
      <xdr:row>19</xdr:row>
      <xdr:rowOff>11430</xdr:rowOff>
    </xdr:from>
    <xdr:ext cx="77655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DA62AF1-E133-5061-0EF2-BFF41CF1C417}"/>
                </a:ext>
              </a:extLst>
            </xdr:cNvPr>
            <xdr:cNvSpPr txBox="1"/>
          </xdr:nvSpPr>
          <xdr:spPr>
            <a:xfrm>
              <a:off x="6393180" y="3615690"/>
              <a:ext cx="77655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 kern="120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𝜋</m:t>
                  </m:r>
                </m:oMath>
              </a14:m>
              <a:r>
                <a:rPr lang="en-US" sz="1100" kern="1200"/>
                <a:t> * 17.8 N*m</a:t>
              </a:r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DA62AF1-E133-5061-0EF2-BFF41CF1C417}"/>
                </a:ext>
              </a:extLst>
            </xdr:cNvPr>
            <xdr:cNvSpPr txBox="1"/>
          </xdr:nvSpPr>
          <xdr:spPr>
            <a:xfrm>
              <a:off x="6393180" y="3615690"/>
              <a:ext cx="77655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kern="1200"/>
                <a:t> * 17.8 N*m</a:t>
              </a:r>
            </a:p>
          </xdr:txBody>
        </xdr:sp>
      </mc:Fallback>
    </mc:AlternateContent>
    <xdr:clientData/>
  </xdr:oneCellAnchor>
  <xdr:oneCellAnchor>
    <xdr:from>
      <xdr:col>11</xdr:col>
      <xdr:colOff>160020</xdr:colOff>
      <xdr:row>11</xdr:row>
      <xdr:rowOff>118110</xdr:rowOff>
    </xdr:from>
    <xdr:ext cx="312906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9EAC009-452C-7252-847C-E2DC4EB1D8CD}"/>
                </a:ext>
              </a:extLst>
            </xdr:cNvPr>
            <xdr:cNvSpPr txBox="1"/>
          </xdr:nvSpPr>
          <xdr:spPr>
            <a:xfrm>
              <a:off x="8663940" y="2205990"/>
              <a:ext cx="31290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 kern="1200">
                            <a:latin typeface="Cambria Math" panose="02040503050406030204" pitchFamily="18" charset="0"/>
                          </a:rPr>
                          <m:t>𝜔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𝑄</m:t>
                        </m:r>
                      </m:den>
                    </m:f>
                    <m:r>
                      <a:rPr lang="en-US" sz="1100" b="0" i="0" kern="1200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9EAC009-452C-7252-847C-E2DC4EB1D8CD}"/>
                </a:ext>
              </a:extLst>
            </xdr:cNvPr>
            <xdr:cNvSpPr txBox="1"/>
          </xdr:nvSpPr>
          <xdr:spPr>
            <a:xfrm>
              <a:off x="8663940" y="2205990"/>
              <a:ext cx="31290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𝜔/</a:t>
              </a:r>
              <a:r>
                <a:rPr lang="en-US" sz="1100" b="0" i="0" kern="1200">
                  <a:latin typeface="Cambria Math" panose="02040503050406030204" pitchFamily="18" charset="0"/>
                </a:rPr>
                <a:t>𝑄= 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11</xdr:col>
      <xdr:colOff>91440</xdr:colOff>
      <xdr:row>12</xdr:row>
      <xdr:rowOff>95250</xdr:rowOff>
    </xdr:from>
    <xdr:ext cx="11592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30DE5E4-3755-D43C-79D6-E855595BAB8B}"/>
                </a:ext>
              </a:extLst>
            </xdr:cNvPr>
            <xdr:cNvSpPr txBox="1"/>
          </xdr:nvSpPr>
          <xdr:spPr>
            <a:xfrm>
              <a:off x="8595360" y="2373630"/>
              <a:ext cx="1159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30DE5E4-3755-D43C-79D6-E855595BAB8B}"/>
                </a:ext>
              </a:extLst>
            </xdr:cNvPr>
            <xdr:cNvSpPr txBox="1"/>
          </xdr:nvSpPr>
          <xdr:spPr>
            <a:xfrm>
              <a:off x="8595360" y="2373630"/>
              <a:ext cx="1159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11</xdr:col>
      <xdr:colOff>426720</xdr:colOff>
      <xdr:row>11</xdr:row>
      <xdr:rowOff>110490</xdr:rowOff>
    </xdr:from>
    <xdr:ext cx="710900" cy="3465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6421880D-0752-B29F-F821-E9D7384CA8AD}"/>
                </a:ext>
              </a:extLst>
            </xdr:cNvPr>
            <xdr:cNvSpPr txBox="1"/>
          </xdr:nvSpPr>
          <xdr:spPr>
            <a:xfrm>
              <a:off x="8930640" y="2198370"/>
              <a:ext cx="710900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111.784 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1117.6 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6421880D-0752-B29F-F821-E9D7384CA8AD}"/>
                </a:ext>
              </a:extLst>
            </xdr:cNvPr>
            <xdr:cNvSpPr txBox="1"/>
          </xdr:nvSpPr>
          <xdr:spPr>
            <a:xfrm>
              <a:off x="8930640" y="2198370"/>
              <a:ext cx="710900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b="0" i="0" kern="1200">
                  <a:latin typeface="Cambria Math" panose="02040503050406030204" pitchFamily="18" charset="0"/>
                </a:rPr>
                <a:t>111.784 𝐽)/(1117.6 𝐽/𝐾)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12</xdr:col>
      <xdr:colOff>571500</xdr:colOff>
      <xdr:row>11</xdr:row>
      <xdr:rowOff>186690</xdr:rowOff>
    </xdr:from>
    <xdr:ext cx="13567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2882BB3-0A8B-C4E5-D249-A9FEBBBD9C8A}"/>
                </a:ext>
              </a:extLst>
            </xdr:cNvPr>
            <xdr:cNvSpPr txBox="1"/>
          </xdr:nvSpPr>
          <xdr:spPr>
            <a:xfrm>
              <a:off x="9685020" y="2274570"/>
              <a:ext cx="13567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2882BB3-0A8B-C4E5-D249-A9FEBBBD9C8A}"/>
                </a:ext>
              </a:extLst>
            </xdr:cNvPr>
            <xdr:cNvSpPr txBox="1"/>
          </xdr:nvSpPr>
          <xdr:spPr>
            <a:xfrm>
              <a:off x="9685020" y="2274570"/>
              <a:ext cx="13567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13</xdr:col>
      <xdr:colOff>83820</xdr:colOff>
      <xdr:row>11</xdr:row>
      <xdr:rowOff>144780</xdr:rowOff>
    </xdr:from>
    <xdr:to>
      <xdr:col>13</xdr:col>
      <xdr:colOff>533400</xdr:colOff>
      <xdr:row>12</xdr:row>
      <xdr:rowOff>152400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2B2B4F1-B1B2-8476-DEA0-6E00344103B9}"/>
            </a:ext>
          </a:extLst>
        </xdr:cNvPr>
        <xdr:cNvSpPr txBox="1"/>
      </xdr:nvSpPr>
      <xdr:spPr>
        <a:xfrm>
          <a:off x="9806940" y="2232660"/>
          <a:ext cx="449580" cy="198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1.1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</xdr:colOff>
      <xdr:row>2</xdr:row>
      <xdr:rowOff>118110</xdr:rowOff>
    </xdr:from>
    <xdr:ext cx="52886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A90D97-3A84-647D-8C1F-BAED9E3A0D54}"/>
                </a:ext>
              </a:extLst>
            </xdr:cNvPr>
            <xdr:cNvSpPr txBox="1"/>
          </xdr:nvSpPr>
          <xdr:spPr>
            <a:xfrm>
              <a:off x="1722120" y="491490"/>
              <a:ext cx="5288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A90D97-3A84-647D-8C1F-BAED9E3A0D54}"/>
                </a:ext>
              </a:extLst>
            </xdr:cNvPr>
            <xdr:cNvSpPr txBox="1"/>
          </xdr:nvSpPr>
          <xdr:spPr>
            <a:xfrm>
              <a:off x="1722120" y="491490"/>
              <a:ext cx="5288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𝑙_0  (𝑚𝑚)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30480</xdr:colOff>
      <xdr:row>2</xdr:row>
      <xdr:rowOff>118110</xdr:rowOff>
    </xdr:from>
    <xdr:ext cx="52559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340A76F-0951-4B8B-A0F5-D6451ADAB476}"/>
                </a:ext>
              </a:extLst>
            </xdr:cNvPr>
            <xdr:cNvSpPr txBox="1"/>
          </xdr:nvSpPr>
          <xdr:spPr>
            <a:xfrm>
              <a:off x="2552700" y="491490"/>
              <a:ext cx="5255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340A76F-0951-4B8B-A0F5-D6451ADAB476}"/>
                </a:ext>
              </a:extLst>
            </xdr:cNvPr>
            <xdr:cNvSpPr txBox="1"/>
          </xdr:nvSpPr>
          <xdr:spPr>
            <a:xfrm>
              <a:off x="2552700" y="491490"/>
              <a:ext cx="5255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𝑙_1  (𝑚𝑚)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15240</xdr:colOff>
      <xdr:row>2</xdr:row>
      <xdr:rowOff>133350</xdr:rowOff>
    </xdr:from>
    <xdr:ext cx="40729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033ACA8-3B23-E8FF-B23B-42FCBCE16DDB}"/>
                </a:ext>
              </a:extLst>
            </xdr:cNvPr>
            <xdr:cNvSpPr txBox="1"/>
          </xdr:nvSpPr>
          <xdr:spPr>
            <a:xfrm>
              <a:off x="3436620" y="506730"/>
              <a:ext cx="4072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033ACA8-3B23-E8FF-B23B-42FCBCE16DDB}"/>
                </a:ext>
              </a:extLst>
            </xdr:cNvPr>
            <xdr:cNvSpPr txBox="1"/>
          </xdr:nvSpPr>
          <xdr:spPr>
            <a:xfrm>
              <a:off x="3436620" y="506730"/>
              <a:ext cx="4072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𝑙=(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403860</xdr:colOff>
      <xdr:row>2</xdr:row>
      <xdr:rowOff>148590</xdr:rowOff>
    </xdr:from>
    <xdr:ext cx="21364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B8374F0-D3C6-48CA-BF9F-2EF931209753}"/>
                </a:ext>
              </a:extLst>
            </xdr:cNvPr>
            <xdr:cNvSpPr txBox="1"/>
          </xdr:nvSpPr>
          <xdr:spPr>
            <a:xfrm>
              <a:off x="3825240" y="521970"/>
              <a:ext cx="2136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𝑙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en-US" sz="1100" kern="1200"/>
                <a:t> - 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B8374F0-D3C6-48CA-BF9F-2EF931209753}"/>
                </a:ext>
              </a:extLst>
            </xdr:cNvPr>
            <xdr:cNvSpPr txBox="1"/>
          </xdr:nvSpPr>
          <xdr:spPr>
            <a:xfrm>
              <a:off x="3825240" y="521970"/>
              <a:ext cx="2136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𝑙_1</a:t>
              </a:r>
              <a:r>
                <a:rPr lang="en-US" sz="1100" kern="1200"/>
                <a:t> - </a:t>
              </a:r>
            </a:p>
          </xdr:txBody>
        </xdr:sp>
      </mc:Fallback>
    </mc:AlternateContent>
    <xdr:clientData/>
  </xdr:oneCellAnchor>
  <xdr:oneCellAnchor>
    <xdr:from>
      <xdr:col>4</xdr:col>
      <xdr:colOff>601980</xdr:colOff>
      <xdr:row>2</xdr:row>
      <xdr:rowOff>156210</xdr:rowOff>
    </xdr:from>
    <xdr:ext cx="4099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80EBF6B-B565-494A-A6C2-C44D8898F203}"/>
                </a:ext>
              </a:extLst>
            </xdr:cNvPr>
            <xdr:cNvSpPr txBox="1"/>
          </xdr:nvSpPr>
          <xdr:spPr>
            <a:xfrm>
              <a:off x="4023360" y="529590"/>
              <a:ext cx="4099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𝑙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r>
                <a:rPr lang="en-US" sz="1100" kern="1200"/>
                <a:t>) mm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80EBF6B-B565-494A-A6C2-C44D8898F203}"/>
                </a:ext>
              </a:extLst>
            </xdr:cNvPr>
            <xdr:cNvSpPr txBox="1"/>
          </xdr:nvSpPr>
          <xdr:spPr>
            <a:xfrm>
              <a:off x="4023360" y="529590"/>
              <a:ext cx="4099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𝑙_0</a:t>
              </a:r>
              <a:r>
                <a:rPr lang="en-US" sz="1100" kern="1200"/>
                <a:t>) mm</a:t>
              </a:r>
            </a:p>
          </xdr:txBody>
        </xdr:sp>
      </mc:Fallback>
    </mc:AlternateContent>
    <xdr:clientData/>
  </xdr:oneCellAnchor>
  <xdr:oneCellAnchor>
    <xdr:from>
      <xdr:col>5</xdr:col>
      <xdr:colOff>15240</xdr:colOff>
      <xdr:row>2</xdr:row>
      <xdr:rowOff>133350</xdr:rowOff>
    </xdr:from>
    <xdr:ext cx="5865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6E73BDD-F1DC-4B1B-BFD5-8D0DD09650FF}"/>
                </a:ext>
              </a:extLst>
            </xdr:cNvPr>
            <xdr:cNvSpPr txBox="1"/>
          </xdr:nvSpPr>
          <xdr:spPr>
            <a:xfrm>
              <a:off x="4610100" y="506730"/>
              <a:ext cx="5865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6E73BDD-F1DC-4B1B-BFD5-8D0DD09650FF}"/>
                </a:ext>
              </a:extLst>
            </xdr:cNvPr>
            <xdr:cNvSpPr txBox="1"/>
          </xdr:nvSpPr>
          <xdr:spPr>
            <a:xfrm>
              <a:off x="4610100" y="506730"/>
              <a:ext cx="5865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𝑙=(𝑚)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403860</xdr:colOff>
      <xdr:row>2</xdr:row>
      <xdr:rowOff>148590</xdr:rowOff>
    </xdr:from>
    <xdr:ext cx="31868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1850395-9038-4EB1-91F4-2DE0D199F149}"/>
            </a:ext>
          </a:extLst>
        </xdr:cNvPr>
        <xdr:cNvSpPr txBox="1"/>
      </xdr:nvSpPr>
      <xdr:spPr>
        <a:xfrm>
          <a:off x="4998720" y="521970"/>
          <a:ext cx="3186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kern="1200"/>
            <a:t> </a:t>
          </a:r>
        </a:p>
      </xdr:txBody>
    </xdr:sp>
    <xdr:clientData/>
  </xdr:oneCellAnchor>
  <xdr:oneCellAnchor>
    <xdr:from>
      <xdr:col>5</xdr:col>
      <xdr:colOff>601980</xdr:colOff>
      <xdr:row>2</xdr:row>
      <xdr:rowOff>156210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5DECCE-5D06-4E5A-ACA9-91172216BA26}"/>
            </a:ext>
          </a:extLst>
        </xdr:cNvPr>
        <xdr:cNvSpPr txBox="1"/>
      </xdr:nvSpPr>
      <xdr:spPr>
        <a:xfrm>
          <a:off x="5196840" y="529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731520</xdr:colOff>
      <xdr:row>2</xdr:row>
      <xdr:rowOff>19050</xdr:rowOff>
    </xdr:from>
    <xdr:ext cx="381515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F872345-5E0B-3838-7B44-B3CCF4639594}"/>
                </a:ext>
              </a:extLst>
            </xdr:cNvPr>
            <xdr:cNvSpPr txBox="1"/>
          </xdr:nvSpPr>
          <xdr:spPr>
            <a:xfrm>
              <a:off x="7696200" y="392430"/>
              <a:ext cx="38151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𝑙</m:t>
                        </m:r>
                      </m:den>
                    </m:f>
                    <m:r>
                      <a:rPr lang="en-US" sz="1100" b="0" i="0" kern="1200">
                        <a:latin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100" b="0" i="0" kern="1200">
                            <a:latin typeface="Cambria Math" panose="02040503050406030204" pitchFamily="18" charset="0"/>
                          </a:rPr>
                          <m:t>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 kern="1200">
                            <a:latin typeface="Cambria Math" panose="02040503050406030204" pitchFamily="18" charset="0"/>
                          </a:rPr>
                          <m:t>m</m:t>
                        </m:r>
                      </m:den>
                    </m:f>
                    <m:r>
                      <a:rPr lang="en-US" sz="1100" b="0" i="0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F872345-5E0B-3838-7B44-B3CCF4639594}"/>
                </a:ext>
              </a:extLst>
            </xdr:cNvPr>
            <xdr:cNvSpPr txBox="1"/>
          </xdr:nvSpPr>
          <xdr:spPr>
            <a:xfrm>
              <a:off x="7696200" y="392430"/>
              <a:ext cx="38151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𝐹/𝑙(N/m)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678180</xdr:colOff>
      <xdr:row>3</xdr:row>
      <xdr:rowOff>19050</xdr:rowOff>
    </xdr:from>
    <xdr:ext cx="11592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899F988-4A80-6D55-02BD-72EDDEC17992}"/>
                </a:ext>
              </a:extLst>
            </xdr:cNvPr>
            <xdr:cNvSpPr txBox="1"/>
          </xdr:nvSpPr>
          <xdr:spPr>
            <a:xfrm>
              <a:off x="7642860" y="575310"/>
              <a:ext cx="1159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899F988-4A80-6D55-02BD-72EDDEC17992}"/>
                </a:ext>
              </a:extLst>
            </xdr:cNvPr>
            <xdr:cNvSpPr txBox="1"/>
          </xdr:nvSpPr>
          <xdr:spPr>
            <a:xfrm>
              <a:off x="7642860" y="575310"/>
              <a:ext cx="1159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8</xdr:col>
      <xdr:colOff>853440</xdr:colOff>
      <xdr:row>2</xdr:row>
      <xdr:rowOff>19050</xdr:rowOff>
    </xdr:from>
    <xdr:ext cx="113813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6EAD6AF-FFFA-B149-2B7E-8C3E8AEF9AF5}"/>
                </a:ext>
              </a:extLst>
            </xdr:cNvPr>
            <xdr:cNvSpPr txBox="1"/>
          </xdr:nvSpPr>
          <xdr:spPr>
            <a:xfrm>
              <a:off x="9037320" y="392430"/>
              <a:ext cx="11381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6EAD6AF-FFFA-B149-2B7E-8C3E8AEF9AF5}"/>
                </a:ext>
              </a:extLst>
            </xdr:cNvPr>
            <xdr:cNvSpPr txBox="1"/>
          </xdr:nvSpPr>
          <xdr:spPr>
            <a:xfrm>
              <a:off x="9037320" y="392430"/>
              <a:ext cx="11381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1/𝑘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4</xdr:row>
      <xdr:rowOff>11430</xdr:rowOff>
    </xdr:from>
    <xdr:ext cx="774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E7C4DFE-A1B9-F023-6134-CBA858E73D1E}"/>
                </a:ext>
              </a:extLst>
            </xdr:cNvPr>
            <xdr:cNvSpPr txBox="1"/>
          </xdr:nvSpPr>
          <xdr:spPr>
            <a:xfrm>
              <a:off x="3474720" y="758190"/>
              <a:ext cx="774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E7C4DFE-A1B9-F023-6134-CBA858E73D1E}"/>
                </a:ext>
              </a:extLst>
            </xdr:cNvPr>
            <xdr:cNvSpPr txBox="1"/>
          </xdr:nvSpPr>
          <xdr:spPr>
            <a:xfrm>
              <a:off x="3474720" y="758190"/>
              <a:ext cx="774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𝑙=29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5</xdr:row>
      <xdr:rowOff>11430</xdr:rowOff>
    </xdr:from>
    <xdr:ext cx="774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02DFC4C-5B59-46D4-87E3-295ECB5D5306}"/>
                </a:ext>
              </a:extLst>
            </xdr:cNvPr>
            <xdr:cNvSpPr txBox="1"/>
          </xdr:nvSpPr>
          <xdr:spPr>
            <a:xfrm>
              <a:off x="3474720" y="948690"/>
              <a:ext cx="774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=58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02DFC4C-5B59-46D4-87E3-295ECB5D5306}"/>
                </a:ext>
              </a:extLst>
            </xdr:cNvPr>
            <xdr:cNvSpPr txBox="1"/>
          </xdr:nvSpPr>
          <xdr:spPr>
            <a:xfrm>
              <a:off x="3474720" y="948690"/>
              <a:ext cx="774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𝑙=58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6</xdr:row>
      <xdr:rowOff>11430</xdr:rowOff>
    </xdr:from>
    <xdr:ext cx="774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BD3BD39-8A32-4C47-9DE7-B5ED4CA84048}"/>
                </a:ext>
              </a:extLst>
            </xdr:cNvPr>
            <xdr:cNvSpPr txBox="1"/>
          </xdr:nvSpPr>
          <xdr:spPr>
            <a:xfrm>
              <a:off x="3474720" y="1139190"/>
              <a:ext cx="774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BD3BD39-8A32-4C47-9DE7-B5ED4CA84048}"/>
                </a:ext>
              </a:extLst>
            </xdr:cNvPr>
            <xdr:cNvSpPr txBox="1"/>
          </xdr:nvSpPr>
          <xdr:spPr>
            <a:xfrm>
              <a:off x="3474720" y="1139190"/>
              <a:ext cx="774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𝑙=89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7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1161A20-775D-4253-BC7D-CB67C46E06AD}"/>
                </a:ext>
              </a:extLst>
            </xdr:cNvPr>
            <xdr:cNvSpPr txBox="1"/>
          </xdr:nvSpPr>
          <xdr:spPr>
            <a:xfrm>
              <a:off x="3474720" y="1329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=119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1161A20-775D-4253-BC7D-CB67C46E06AD}"/>
                </a:ext>
              </a:extLst>
            </xdr:cNvPr>
            <xdr:cNvSpPr txBox="1"/>
          </xdr:nvSpPr>
          <xdr:spPr>
            <a:xfrm>
              <a:off x="3474720" y="1329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𝑙=119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8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BCDAE2E-A0FC-429E-90CA-15E8C63D0ECF}"/>
                </a:ext>
              </a:extLst>
            </xdr:cNvPr>
            <xdr:cNvSpPr txBox="1"/>
          </xdr:nvSpPr>
          <xdr:spPr>
            <a:xfrm>
              <a:off x="3474720" y="1520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=150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BCDAE2E-A0FC-429E-90CA-15E8C63D0ECF}"/>
                </a:ext>
              </a:extLst>
            </xdr:cNvPr>
            <xdr:cNvSpPr txBox="1"/>
          </xdr:nvSpPr>
          <xdr:spPr>
            <a:xfrm>
              <a:off x="3474720" y="1520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𝑙=150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9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33BC858-6320-4658-9F72-F4911B33DE2B}"/>
                </a:ext>
              </a:extLst>
            </xdr:cNvPr>
            <xdr:cNvSpPr txBox="1"/>
          </xdr:nvSpPr>
          <xdr:spPr>
            <a:xfrm>
              <a:off x="3474720" y="1710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=178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33BC858-6320-4658-9F72-F4911B33DE2B}"/>
                </a:ext>
              </a:extLst>
            </xdr:cNvPr>
            <xdr:cNvSpPr txBox="1"/>
          </xdr:nvSpPr>
          <xdr:spPr>
            <a:xfrm>
              <a:off x="3474720" y="1710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𝑙=178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10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0B480B5-EBCA-4F44-AC90-9911BDAE5C45}"/>
                </a:ext>
              </a:extLst>
            </xdr:cNvPr>
            <xdr:cNvSpPr txBox="1"/>
          </xdr:nvSpPr>
          <xdr:spPr>
            <a:xfrm>
              <a:off x="3474720" y="1901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=207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0B480B5-EBCA-4F44-AC90-9911BDAE5C45}"/>
                </a:ext>
              </a:extLst>
            </xdr:cNvPr>
            <xdr:cNvSpPr txBox="1"/>
          </xdr:nvSpPr>
          <xdr:spPr>
            <a:xfrm>
              <a:off x="3474720" y="1901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𝑙=207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11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641E5E-7700-4D73-85D4-7D6AB6578138}"/>
                </a:ext>
              </a:extLst>
            </xdr:cNvPr>
            <xdr:cNvSpPr txBox="1"/>
          </xdr:nvSpPr>
          <xdr:spPr>
            <a:xfrm>
              <a:off x="3474720" y="2091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=239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641E5E-7700-4D73-85D4-7D6AB6578138}"/>
                </a:ext>
              </a:extLst>
            </xdr:cNvPr>
            <xdr:cNvSpPr txBox="1"/>
          </xdr:nvSpPr>
          <xdr:spPr>
            <a:xfrm>
              <a:off x="3474720" y="2091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𝑙=239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12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CF1D29B-8919-4509-AF41-3A79F44855D3}"/>
                </a:ext>
              </a:extLst>
            </xdr:cNvPr>
            <xdr:cNvSpPr txBox="1"/>
          </xdr:nvSpPr>
          <xdr:spPr>
            <a:xfrm>
              <a:off x="3474720" y="2282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=265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CF1D29B-8919-4509-AF41-3A79F44855D3}"/>
                </a:ext>
              </a:extLst>
            </xdr:cNvPr>
            <xdr:cNvSpPr txBox="1"/>
          </xdr:nvSpPr>
          <xdr:spPr>
            <a:xfrm>
              <a:off x="3474720" y="2282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𝑙=265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13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D9CE6F5-F2A0-411C-AC1A-0EB086087A1B}"/>
                </a:ext>
              </a:extLst>
            </xdr:cNvPr>
            <xdr:cNvSpPr txBox="1"/>
          </xdr:nvSpPr>
          <xdr:spPr>
            <a:xfrm>
              <a:off x="3474720" y="2472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=287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D9CE6F5-F2A0-411C-AC1A-0EB086087A1B}"/>
                </a:ext>
              </a:extLst>
            </xdr:cNvPr>
            <xdr:cNvSpPr txBox="1"/>
          </xdr:nvSpPr>
          <xdr:spPr>
            <a:xfrm>
              <a:off x="3474720" y="24726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𝑙=287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53340</xdr:colOff>
      <xdr:row>14</xdr:row>
      <xdr:rowOff>11430</xdr:rowOff>
    </xdr:from>
    <xdr:ext cx="85299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B8FA93C-CEB9-4972-94B4-F994D6FC26A2}"/>
                </a:ext>
              </a:extLst>
            </xdr:cNvPr>
            <xdr:cNvSpPr txBox="1"/>
          </xdr:nvSpPr>
          <xdr:spPr>
            <a:xfrm>
              <a:off x="3474720" y="2663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=316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B8FA93C-CEB9-4972-94B4-F994D6FC26A2}"/>
                </a:ext>
              </a:extLst>
            </xdr:cNvPr>
            <xdr:cNvSpPr txBox="1"/>
          </xdr:nvSpPr>
          <xdr:spPr>
            <a:xfrm>
              <a:off x="3474720" y="2663190"/>
              <a:ext cx="85299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𝑙=316 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4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6C9F2704-B673-4251-A82B-4D382345B68B}"/>
                </a:ext>
              </a:extLst>
            </xdr:cNvPr>
            <xdr:cNvSpPr txBox="1"/>
          </xdr:nvSpPr>
          <xdr:spPr>
            <a:xfrm>
              <a:off x="4648200" y="758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=0.029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6C9F2704-B673-4251-A82B-4D382345B68B}"/>
                </a:ext>
              </a:extLst>
            </xdr:cNvPr>
            <xdr:cNvSpPr txBox="1"/>
          </xdr:nvSpPr>
          <xdr:spPr>
            <a:xfrm>
              <a:off x="4648200" y="758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𝑙=0.029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5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E8D1DB7-EEEE-4B25-9222-8B67C08A521B}"/>
                </a:ext>
              </a:extLst>
            </xdr:cNvPr>
            <xdr:cNvSpPr txBox="1"/>
          </xdr:nvSpPr>
          <xdr:spPr>
            <a:xfrm>
              <a:off x="4648200" y="948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=0.058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E8D1DB7-EEEE-4B25-9222-8B67C08A521B}"/>
                </a:ext>
              </a:extLst>
            </xdr:cNvPr>
            <xdr:cNvSpPr txBox="1"/>
          </xdr:nvSpPr>
          <xdr:spPr>
            <a:xfrm>
              <a:off x="4648200" y="948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𝑙=0.058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6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D33DEB9C-C31F-4E1D-B079-7B65AE0DEC3B}"/>
                </a:ext>
              </a:extLst>
            </xdr:cNvPr>
            <xdr:cNvSpPr txBox="1"/>
          </xdr:nvSpPr>
          <xdr:spPr>
            <a:xfrm>
              <a:off x="4648200" y="1139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=0.089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D33DEB9C-C31F-4E1D-B079-7B65AE0DEC3B}"/>
                </a:ext>
              </a:extLst>
            </xdr:cNvPr>
            <xdr:cNvSpPr txBox="1"/>
          </xdr:nvSpPr>
          <xdr:spPr>
            <a:xfrm>
              <a:off x="4648200" y="1139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𝑙=0.089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7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9B1E34D-9094-4FC7-B265-0BCCC9AAD71D}"/>
                </a:ext>
              </a:extLst>
            </xdr:cNvPr>
            <xdr:cNvSpPr txBox="1"/>
          </xdr:nvSpPr>
          <xdr:spPr>
            <a:xfrm>
              <a:off x="4648200" y="1329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=0.119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9B1E34D-9094-4FC7-B265-0BCCC9AAD71D}"/>
                </a:ext>
              </a:extLst>
            </xdr:cNvPr>
            <xdr:cNvSpPr txBox="1"/>
          </xdr:nvSpPr>
          <xdr:spPr>
            <a:xfrm>
              <a:off x="4648200" y="1329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𝑙=0.119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8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4127E5C-E7C4-420E-960A-81324B060E8F}"/>
                </a:ext>
              </a:extLst>
            </xdr:cNvPr>
            <xdr:cNvSpPr txBox="1"/>
          </xdr:nvSpPr>
          <xdr:spPr>
            <a:xfrm>
              <a:off x="4648200" y="1520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=0.150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4127E5C-E7C4-420E-960A-81324B060E8F}"/>
                </a:ext>
              </a:extLst>
            </xdr:cNvPr>
            <xdr:cNvSpPr txBox="1"/>
          </xdr:nvSpPr>
          <xdr:spPr>
            <a:xfrm>
              <a:off x="4648200" y="1520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𝑙=0.150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9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5A1B0BA-74DF-4809-9D58-4FE99D43CCA6}"/>
                </a:ext>
              </a:extLst>
            </xdr:cNvPr>
            <xdr:cNvSpPr txBox="1"/>
          </xdr:nvSpPr>
          <xdr:spPr>
            <a:xfrm>
              <a:off x="4648200" y="1710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=0.178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5A1B0BA-74DF-4809-9D58-4FE99D43CCA6}"/>
                </a:ext>
              </a:extLst>
            </xdr:cNvPr>
            <xdr:cNvSpPr txBox="1"/>
          </xdr:nvSpPr>
          <xdr:spPr>
            <a:xfrm>
              <a:off x="4648200" y="1710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𝑙=0.178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10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1FBB4A-56EC-4737-88AA-87766AC4CF45}"/>
                </a:ext>
              </a:extLst>
            </xdr:cNvPr>
            <xdr:cNvSpPr txBox="1"/>
          </xdr:nvSpPr>
          <xdr:spPr>
            <a:xfrm>
              <a:off x="4648200" y="1901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=0.207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1FBB4A-56EC-4737-88AA-87766AC4CF45}"/>
                </a:ext>
              </a:extLst>
            </xdr:cNvPr>
            <xdr:cNvSpPr txBox="1"/>
          </xdr:nvSpPr>
          <xdr:spPr>
            <a:xfrm>
              <a:off x="4648200" y="1901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𝑙=0.207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11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FF19DE2-B827-4AC9-9FFD-8B9B0D657650}"/>
                </a:ext>
              </a:extLst>
            </xdr:cNvPr>
            <xdr:cNvSpPr txBox="1"/>
          </xdr:nvSpPr>
          <xdr:spPr>
            <a:xfrm>
              <a:off x="4648200" y="2091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=0.239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FF19DE2-B827-4AC9-9FFD-8B9B0D657650}"/>
                </a:ext>
              </a:extLst>
            </xdr:cNvPr>
            <xdr:cNvSpPr txBox="1"/>
          </xdr:nvSpPr>
          <xdr:spPr>
            <a:xfrm>
              <a:off x="4648200" y="2091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𝑙=0.239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12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D66C6D3A-765E-40EB-A8EF-87F98729F642}"/>
                </a:ext>
              </a:extLst>
            </xdr:cNvPr>
            <xdr:cNvSpPr txBox="1"/>
          </xdr:nvSpPr>
          <xdr:spPr>
            <a:xfrm>
              <a:off x="4648200" y="2282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=0.265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D66C6D3A-765E-40EB-A8EF-87F98729F642}"/>
                </a:ext>
              </a:extLst>
            </xdr:cNvPr>
            <xdr:cNvSpPr txBox="1"/>
          </xdr:nvSpPr>
          <xdr:spPr>
            <a:xfrm>
              <a:off x="4648200" y="2282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𝑙=0.265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13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CE03B52-E235-48D9-B349-039BC623804D}"/>
                </a:ext>
              </a:extLst>
            </xdr:cNvPr>
            <xdr:cNvSpPr txBox="1"/>
          </xdr:nvSpPr>
          <xdr:spPr>
            <a:xfrm>
              <a:off x="4648200" y="2472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=0.287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CE03B52-E235-48D9-B349-039BC623804D}"/>
                </a:ext>
              </a:extLst>
            </xdr:cNvPr>
            <xdr:cNvSpPr txBox="1"/>
          </xdr:nvSpPr>
          <xdr:spPr>
            <a:xfrm>
              <a:off x="4648200" y="24726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𝑙=0.287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53340</xdr:colOff>
      <xdr:row>14</xdr:row>
      <xdr:rowOff>11430</xdr:rowOff>
    </xdr:from>
    <xdr:ext cx="8417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8EF9D04-19EA-4E3F-A99F-A19AC6EAA841}"/>
                </a:ext>
              </a:extLst>
            </xdr:cNvPr>
            <xdr:cNvSpPr txBox="1"/>
          </xdr:nvSpPr>
          <xdr:spPr>
            <a:xfrm>
              <a:off x="4648200" y="2663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=0.316 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8EF9D04-19EA-4E3F-A99F-A19AC6EAA841}"/>
                </a:ext>
              </a:extLst>
            </xdr:cNvPr>
            <xdr:cNvSpPr txBox="1"/>
          </xdr:nvSpPr>
          <xdr:spPr>
            <a:xfrm>
              <a:off x="4648200" y="2663190"/>
              <a:ext cx="8417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𝑙=0.316 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11</xdr:col>
      <xdr:colOff>129540</xdr:colOff>
      <xdr:row>9</xdr:row>
      <xdr:rowOff>49530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A883594-2BAE-F4A2-4577-40415D63E003}"/>
            </a:ext>
          </a:extLst>
        </xdr:cNvPr>
        <xdr:cNvSpPr txBox="1"/>
      </xdr:nvSpPr>
      <xdr:spPr>
        <a:xfrm>
          <a:off x="11079480" y="1748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twoCellAnchor>
    <xdr:from>
      <xdr:col>10</xdr:col>
      <xdr:colOff>15240</xdr:colOff>
      <xdr:row>1</xdr:row>
      <xdr:rowOff>3810</xdr:rowOff>
    </xdr:from>
    <xdr:to>
      <xdr:col>17</xdr:col>
      <xdr:colOff>320040</xdr:colOff>
      <xdr:row>15</xdr:row>
      <xdr:rowOff>87630</xdr:rowOff>
    </xdr:to>
    <xdr:graphicFrame macro="">
      <xdr:nvGraphicFramePr>
        <xdr:cNvPr id="171" name="Chart 170">
          <a:extLst>
            <a:ext uri="{FF2B5EF4-FFF2-40B4-BE49-F238E27FC236}">
              <a16:creationId xmlns:a16="http://schemas.microsoft.com/office/drawing/2014/main" id="{EB6D3A87-B840-6AD8-9822-8C8D701D2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236220</xdr:colOff>
      <xdr:row>5</xdr:row>
      <xdr:rowOff>179070</xdr:rowOff>
    </xdr:from>
    <xdr:ext cx="19339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E5DA7D-5604-3B22-6C46-33E9CFE475D3}"/>
                </a:ext>
              </a:extLst>
            </xdr:cNvPr>
            <xdr:cNvSpPr txBox="1"/>
          </xdr:nvSpPr>
          <xdr:spPr>
            <a:xfrm>
              <a:off x="845820" y="1108710"/>
              <a:ext cx="19339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</m:oMath>
              </a14:m>
              <a:r>
                <a:rPr lang="en-US" sz="1100" kern="1200"/>
                <a:t>= (C+C</a:t>
              </a:r>
              <a:r>
                <a:rPr lang="en-US" sz="800" kern="1200"/>
                <a:t>1</a:t>
              </a:r>
              <a:r>
                <a:rPr lang="en-US" sz="1200" kern="1200"/>
                <a:t>m</a:t>
              </a:r>
              <a:r>
                <a:rPr lang="en-US" sz="700" kern="1200"/>
                <a:t>1</a:t>
              </a:r>
              <a:r>
                <a:rPr lang="en-US" sz="1200" kern="1200"/>
                <a:t>)*(T</a:t>
              </a:r>
              <a:r>
                <a:rPr lang="en-US" sz="800" kern="1200"/>
                <a:t>1</a:t>
              </a:r>
              <a:r>
                <a:rPr lang="en-US" sz="1200" kern="1200"/>
                <a:t>-T</a:t>
              </a:r>
              <a:r>
                <a:rPr lang="en-US" sz="800" kern="1200"/>
                <a:t>m</a:t>
              </a:r>
              <a:r>
                <a:rPr lang="en-US" sz="1200" kern="1200"/>
                <a:t>)/m</a:t>
              </a:r>
              <a:r>
                <a:rPr lang="en-US" sz="800" kern="1200"/>
                <a:t>2</a:t>
              </a:r>
              <a:r>
                <a:rPr lang="en-US" sz="1200" kern="1200"/>
                <a:t>(T</a:t>
              </a:r>
              <a:r>
                <a:rPr lang="en-US" sz="800" kern="1200"/>
                <a:t>m</a:t>
              </a:r>
              <a:r>
                <a:rPr lang="en-US" sz="1200" kern="1200"/>
                <a:t>-T</a:t>
              </a:r>
              <a:r>
                <a:rPr lang="en-US" sz="800" kern="1200"/>
                <a:t>2</a:t>
              </a:r>
              <a:r>
                <a:rPr lang="en-US" sz="1200" kern="1200"/>
                <a:t>)</a:t>
              </a:r>
              <a:endParaRPr lang="en-US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E5DA7D-5604-3B22-6C46-33E9CFE475D3}"/>
                </a:ext>
              </a:extLst>
            </xdr:cNvPr>
            <xdr:cNvSpPr txBox="1"/>
          </xdr:nvSpPr>
          <xdr:spPr>
            <a:xfrm>
              <a:off x="845820" y="1108710"/>
              <a:ext cx="19339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</a:t>
              </a:r>
              <a:r>
                <a:rPr lang="en-US" sz="1100" kern="1200"/>
                <a:t>= (C+C</a:t>
              </a:r>
              <a:r>
                <a:rPr lang="en-US" sz="800" kern="1200"/>
                <a:t>1</a:t>
              </a:r>
              <a:r>
                <a:rPr lang="en-US" sz="1200" kern="1200"/>
                <a:t>m</a:t>
              </a:r>
              <a:r>
                <a:rPr lang="en-US" sz="700" kern="1200"/>
                <a:t>1</a:t>
              </a:r>
              <a:r>
                <a:rPr lang="en-US" sz="1200" kern="1200"/>
                <a:t>)*(T</a:t>
              </a:r>
              <a:r>
                <a:rPr lang="en-US" sz="800" kern="1200"/>
                <a:t>1</a:t>
              </a:r>
              <a:r>
                <a:rPr lang="en-US" sz="1200" kern="1200"/>
                <a:t>-T</a:t>
              </a:r>
              <a:r>
                <a:rPr lang="en-US" sz="800" kern="1200"/>
                <a:t>m</a:t>
              </a:r>
              <a:r>
                <a:rPr lang="en-US" sz="1200" kern="1200"/>
                <a:t>)/m</a:t>
              </a:r>
              <a:r>
                <a:rPr lang="en-US" sz="800" kern="1200"/>
                <a:t>2</a:t>
              </a:r>
              <a:r>
                <a:rPr lang="en-US" sz="1200" kern="1200"/>
                <a:t>(T</a:t>
              </a:r>
              <a:r>
                <a:rPr lang="en-US" sz="800" kern="1200"/>
                <a:t>m</a:t>
              </a:r>
              <a:r>
                <a:rPr lang="en-US" sz="1200" kern="1200"/>
                <a:t>-T</a:t>
              </a:r>
              <a:r>
                <a:rPr lang="en-US" sz="800" kern="1200"/>
                <a:t>2</a:t>
              </a:r>
              <a:r>
                <a:rPr lang="en-US" sz="1200" kern="1200"/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533400</xdr:colOff>
      <xdr:row>10</xdr:row>
      <xdr:rowOff>179070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316B47-4C51-4C84-7BD3-08860DA05909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251460</xdr:colOff>
      <xdr:row>4</xdr:row>
      <xdr:rowOff>3810</xdr:rowOff>
    </xdr:from>
    <xdr:ext cx="16087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4A57389-3503-7416-CF0F-63030DF68272}"/>
                </a:ext>
              </a:extLst>
            </xdr:cNvPr>
            <xdr:cNvSpPr txBox="1"/>
          </xdr:nvSpPr>
          <xdr:spPr>
            <a:xfrm>
              <a:off x="2080260" y="750570"/>
              <a:ext cx="16087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4A57389-3503-7416-CF0F-63030DF68272}"/>
                </a:ext>
              </a:extLst>
            </xdr:cNvPr>
            <xdr:cNvSpPr txBox="1"/>
          </xdr:nvSpPr>
          <xdr:spPr>
            <a:xfrm>
              <a:off x="2080260" y="750570"/>
              <a:ext cx="16087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𝑡^2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289560</xdr:colOff>
      <xdr:row>4</xdr:row>
      <xdr:rowOff>11430</xdr:rowOff>
    </xdr:from>
    <xdr:ext cx="17998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040FF2-48F1-6F55-8A72-EBF683D0D470}"/>
                </a:ext>
              </a:extLst>
            </xdr:cNvPr>
            <xdr:cNvSpPr txBox="1"/>
          </xdr:nvSpPr>
          <xdr:spPr>
            <a:xfrm>
              <a:off x="2727960" y="758190"/>
              <a:ext cx="17998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𝑠</m:t>
                      </m:r>
                    </m:e>
                    <m:sup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 kern="1200"/>
                <a:t>)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040FF2-48F1-6F55-8A72-EBF683D0D470}"/>
                </a:ext>
              </a:extLst>
            </xdr:cNvPr>
            <xdr:cNvSpPr txBox="1"/>
          </xdr:nvSpPr>
          <xdr:spPr>
            <a:xfrm>
              <a:off x="2727960" y="758190"/>
              <a:ext cx="17998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𝑠^2</a:t>
              </a:r>
              <a:r>
                <a:rPr lang="en-US" sz="1100" kern="1200"/>
                <a:t>)</a:t>
              </a:r>
            </a:p>
          </xdr:txBody>
        </xdr:sp>
      </mc:Fallback>
    </mc:AlternateContent>
    <xdr:clientData/>
  </xdr:oneCellAnchor>
  <xdr:twoCellAnchor>
    <xdr:from>
      <xdr:col>7</xdr:col>
      <xdr:colOff>7620</xdr:colOff>
      <xdr:row>3</xdr:row>
      <xdr:rowOff>179070</xdr:rowOff>
    </xdr:from>
    <xdr:to>
      <xdr:col>14</xdr:col>
      <xdr:colOff>312420</xdr:colOff>
      <xdr:row>18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BF1283-89D7-BD5E-6C7B-E3B53FFE4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94AD-4682-43C5-A09F-878FD25D34D1}">
  <dimension ref="A1:T23"/>
  <sheetViews>
    <sheetView zoomScale="86" zoomScaleNormal="86" workbookViewId="0">
      <selection activeCell="F11" sqref="F11"/>
    </sheetView>
  </sheetViews>
  <sheetFormatPr defaultRowHeight="14.4" x14ac:dyDescent="0.3"/>
  <cols>
    <col min="4" max="4" width="12.5546875" customWidth="1"/>
    <col min="5" max="5" width="16.33203125" customWidth="1"/>
    <col min="6" max="6" width="16.6640625" customWidth="1"/>
    <col min="7" max="7" width="16.33203125" customWidth="1"/>
    <col min="11" max="11" width="12" customWidth="1"/>
  </cols>
  <sheetData>
    <row r="1" spans="1:20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</row>
    <row r="2" spans="1:20" ht="15" thickBot="1" x14ac:dyDescent="0.3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</row>
    <row r="3" spans="1:20" ht="15" thickBot="1" x14ac:dyDescent="0.35"/>
    <row r="4" spans="1:20" ht="15" thickBot="1" x14ac:dyDescent="0.35">
      <c r="A4" s="29" t="s">
        <v>1</v>
      </c>
      <c r="B4" s="30"/>
      <c r="C4" s="30"/>
      <c r="D4" s="30"/>
      <c r="E4" s="30"/>
      <c r="F4" s="30"/>
      <c r="G4" s="31"/>
      <c r="M4" s="34" t="s">
        <v>13</v>
      </c>
      <c r="N4" s="35"/>
      <c r="O4" s="35"/>
      <c r="P4" s="35"/>
      <c r="Q4" s="35"/>
      <c r="R4" s="35"/>
      <c r="S4" s="36"/>
    </row>
    <row r="5" spans="1:20" ht="15" thickBot="1" x14ac:dyDescent="0.35">
      <c r="A5" s="32" t="s">
        <v>2</v>
      </c>
      <c r="B5" s="32" t="s">
        <v>3</v>
      </c>
      <c r="C5" s="32" t="s">
        <v>4</v>
      </c>
      <c r="D5" s="32" t="s">
        <v>5</v>
      </c>
      <c r="E5" s="2" t="s">
        <v>6</v>
      </c>
      <c r="F5" s="3" t="s">
        <v>7</v>
      </c>
      <c r="G5" s="32" t="s">
        <v>8</v>
      </c>
      <c r="M5" s="34" t="s">
        <v>18</v>
      </c>
      <c r="N5" s="35"/>
      <c r="O5" s="35"/>
      <c r="P5" s="35"/>
      <c r="Q5" s="35"/>
      <c r="R5" s="35"/>
      <c r="S5" s="36"/>
    </row>
    <row r="6" spans="1:20" ht="15" thickBot="1" x14ac:dyDescent="0.35">
      <c r="A6" s="33"/>
      <c r="B6" s="33"/>
      <c r="C6" s="33"/>
      <c r="D6" s="33"/>
      <c r="E6" s="29" t="s">
        <v>9</v>
      </c>
      <c r="F6" s="31"/>
      <c r="G6" s="33"/>
      <c r="I6" s="29" t="s">
        <v>10</v>
      </c>
      <c r="J6" s="37"/>
      <c r="K6" s="38"/>
      <c r="M6" s="34" t="s">
        <v>19</v>
      </c>
      <c r="N6" s="35"/>
      <c r="O6" s="35"/>
      <c r="P6" s="35"/>
      <c r="Q6" s="35"/>
      <c r="R6" s="35"/>
      <c r="S6" s="36"/>
    </row>
    <row r="7" spans="1:20" ht="15" thickBot="1" x14ac:dyDescent="0.35">
      <c r="A7" s="4">
        <v>1</v>
      </c>
      <c r="B7" s="6">
        <v>10</v>
      </c>
      <c r="C7" s="6">
        <v>45</v>
      </c>
      <c r="D7" s="6">
        <v>10.9</v>
      </c>
      <c r="E7" s="39">
        <v>10.4</v>
      </c>
      <c r="F7" s="39">
        <v>0.5</v>
      </c>
      <c r="G7" s="39">
        <v>4.8</v>
      </c>
      <c r="I7" s="34" t="s">
        <v>11</v>
      </c>
      <c r="J7" s="35"/>
      <c r="K7" s="36"/>
      <c r="M7" s="34" t="s">
        <v>20</v>
      </c>
      <c r="N7" s="35"/>
      <c r="O7" s="35"/>
      <c r="P7" s="35"/>
      <c r="Q7" s="35"/>
      <c r="R7" s="35"/>
      <c r="S7" s="36"/>
    </row>
    <row r="8" spans="1:20" ht="15" thickBot="1" x14ac:dyDescent="0.35">
      <c r="A8" s="4">
        <v>2</v>
      </c>
      <c r="B8" s="6">
        <v>10</v>
      </c>
      <c r="C8" s="6">
        <v>5</v>
      </c>
      <c r="D8" s="6">
        <v>10.1</v>
      </c>
      <c r="E8" s="40"/>
      <c r="F8" s="40"/>
      <c r="G8" s="40"/>
      <c r="I8" s="34" t="s">
        <v>14</v>
      </c>
      <c r="J8" s="35"/>
      <c r="K8" s="36"/>
      <c r="M8" s="34" t="s">
        <v>15</v>
      </c>
      <c r="N8" s="35"/>
      <c r="O8" s="35"/>
      <c r="P8" s="35"/>
      <c r="Q8" s="35"/>
      <c r="R8" s="35"/>
      <c r="S8" s="36"/>
    </row>
    <row r="9" spans="1:20" ht="15" thickBot="1" x14ac:dyDescent="0.35">
      <c r="A9" s="4">
        <v>3</v>
      </c>
      <c r="B9" s="6">
        <v>10</v>
      </c>
      <c r="C9" s="6">
        <v>15</v>
      </c>
      <c r="D9" s="6">
        <v>10.3</v>
      </c>
      <c r="E9" s="41"/>
      <c r="F9" s="41"/>
      <c r="G9" s="41"/>
      <c r="I9" s="34" t="s">
        <v>12</v>
      </c>
      <c r="J9" s="35"/>
      <c r="K9" s="36"/>
      <c r="M9" s="34" t="s">
        <v>16</v>
      </c>
      <c r="N9" s="35"/>
      <c r="O9" s="35"/>
      <c r="P9" s="35"/>
      <c r="Q9" s="35"/>
      <c r="R9" s="35"/>
      <c r="S9" s="36"/>
    </row>
    <row r="10" spans="1:20" ht="15" thickBot="1" x14ac:dyDescent="0.35">
      <c r="M10" s="34" t="s">
        <v>17</v>
      </c>
      <c r="N10" s="35"/>
      <c r="O10" s="35"/>
      <c r="P10" s="35"/>
      <c r="Q10" s="35"/>
      <c r="R10" s="35"/>
      <c r="S10" s="36"/>
    </row>
    <row r="13" spans="1:20" ht="15" thickBot="1" x14ac:dyDescent="0.35"/>
    <row r="14" spans="1:20" ht="15" thickBot="1" x14ac:dyDescent="0.35">
      <c r="A14" s="29" t="s">
        <v>21</v>
      </c>
      <c r="B14" s="37"/>
      <c r="C14" s="37"/>
      <c r="D14" s="37"/>
      <c r="E14" s="37"/>
      <c r="F14" s="38"/>
    </row>
    <row r="15" spans="1:20" ht="28.2" customHeight="1" thickBot="1" x14ac:dyDescent="0.35">
      <c r="A15" s="7" t="s">
        <v>22</v>
      </c>
      <c r="B15" s="8" t="s">
        <v>23</v>
      </c>
      <c r="C15" s="8" t="s">
        <v>24</v>
      </c>
      <c r="D15" s="8" t="s">
        <v>25</v>
      </c>
      <c r="E15" s="8" t="s">
        <v>26</v>
      </c>
      <c r="F15" s="8" t="s">
        <v>27</v>
      </c>
      <c r="H15" s="42" t="s">
        <v>51</v>
      </c>
      <c r="I15" s="43"/>
      <c r="J15" s="43"/>
      <c r="K15" s="43"/>
      <c r="L15" s="43"/>
      <c r="M15" s="44"/>
      <c r="O15" s="42" t="s">
        <v>60</v>
      </c>
      <c r="P15" s="43"/>
      <c r="Q15" s="43"/>
      <c r="R15" s="43"/>
      <c r="S15" s="43"/>
      <c r="T15" s="44"/>
    </row>
    <row r="16" spans="1:20" ht="15" thickBot="1" x14ac:dyDescent="0.35">
      <c r="A16" s="9" t="s">
        <v>28</v>
      </c>
      <c r="B16" s="6">
        <v>1</v>
      </c>
      <c r="C16" s="39">
        <v>10.4</v>
      </c>
      <c r="D16" s="39" t="s">
        <v>36</v>
      </c>
      <c r="E16" s="1" t="s">
        <v>37</v>
      </c>
      <c r="F16" s="1" t="s">
        <v>44</v>
      </c>
      <c r="H16" s="1" t="s">
        <v>28</v>
      </c>
      <c r="I16" s="34" t="s">
        <v>53</v>
      </c>
      <c r="J16" s="35"/>
      <c r="K16" s="35"/>
      <c r="L16" s="35"/>
      <c r="M16" s="36"/>
      <c r="O16" s="10" t="s">
        <v>28</v>
      </c>
      <c r="P16" s="45" t="s">
        <v>61</v>
      </c>
      <c r="Q16" s="46"/>
      <c r="R16" s="46"/>
      <c r="S16" s="46"/>
      <c r="T16" s="47"/>
    </row>
    <row r="17" spans="1:20" ht="15" thickBot="1" x14ac:dyDescent="0.35">
      <c r="A17" s="9" t="s">
        <v>29</v>
      </c>
      <c r="B17" s="6">
        <v>2</v>
      </c>
      <c r="C17" s="40"/>
      <c r="D17" s="40"/>
      <c r="E17" s="1" t="s">
        <v>38</v>
      </c>
      <c r="F17" s="1" t="s">
        <v>45</v>
      </c>
      <c r="H17" s="1" t="s">
        <v>29</v>
      </c>
      <c r="I17" s="34" t="s">
        <v>54</v>
      </c>
      <c r="J17" s="35"/>
      <c r="K17" s="35"/>
      <c r="L17" s="35"/>
      <c r="M17" s="36"/>
      <c r="O17" s="1" t="s">
        <v>29</v>
      </c>
      <c r="P17" s="45" t="s">
        <v>62</v>
      </c>
      <c r="Q17" s="46"/>
      <c r="R17" s="46"/>
      <c r="S17" s="46"/>
      <c r="T17" s="47"/>
    </row>
    <row r="18" spans="1:20" ht="15" thickBot="1" x14ac:dyDescent="0.35">
      <c r="A18" s="9" t="s">
        <v>30</v>
      </c>
      <c r="B18" s="6">
        <v>10</v>
      </c>
      <c r="C18" s="40"/>
      <c r="D18" s="40"/>
      <c r="E18" s="1" t="s">
        <v>39</v>
      </c>
      <c r="F18" s="1" t="s">
        <v>46</v>
      </c>
      <c r="H18" s="1" t="s">
        <v>30</v>
      </c>
      <c r="I18" s="34" t="s">
        <v>55</v>
      </c>
      <c r="J18" s="35"/>
      <c r="K18" s="35"/>
      <c r="L18" s="35"/>
      <c r="M18" s="36"/>
      <c r="O18" s="1" t="s">
        <v>30</v>
      </c>
      <c r="P18" s="45" t="s">
        <v>63</v>
      </c>
      <c r="Q18" s="46"/>
      <c r="R18" s="46"/>
      <c r="S18" s="46"/>
      <c r="T18" s="47"/>
    </row>
    <row r="19" spans="1:20" ht="15" thickBot="1" x14ac:dyDescent="0.35">
      <c r="A19" s="9" t="s">
        <v>31</v>
      </c>
      <c r="B19" s="6">
        <v>3</v>
      </c>
      <c r="C19" s="40"/>
      <c r="D19" s="40"/>
      <c r="E19" s="1" t="s">
        <v>40</v>
      </c>
      <c r="F19" s="1" t="s">
        <v>47</v>
      </c>
      <c r="H19" s="1" t="s">
        <v>31</v>
      </c>
      <c r="I19" s="34" t="s">
        <v>56</v>
      </c>
      <c r="J19" s="35"/>
      <c r="K19" s="35"/>
      <c r="L19" s="35"/>
      <c r="M19" s="36"/>
      <c r="O19" s="1" t="s">
        <v>31</v>
      </c>
      <c r="P19" s="45" t="s">
        <v>64</v>
      </c>
      <c r="Q19" s="46"/>
      <c r="R19" s="46"/>
      <c r="S19" s="46"/>
      <c r="T19" s="47"/>
    </row>
    <row r="20" spans="1:20" ht="15" thickBot="1" x14ac:dyDescent="0.35">
      <c r="A20" s="9" t="s">
        <v>32</v>
      </c>
      <c r="B20" s="6">
        <v>7</v>
      </c>
      <c r="C20" s="40"/>
      <c r="D20" s="40"/>
      <c r="E20" s="1" t="s">
        <v>41</v>
      </c>
      <c r="F20" s="1" t="s">
        <v>48</v>
      </c>
      <c r="H20" s="1" t="s">
        <v>52</v>
      </c>
      <c r="I20" s="34" t="s">
        <v>57</v>
      </c>
      <c r="J20" s="35"/>
      <c r="K20" s="35"/>
      <c r="L20" s="35"/>
      <c r="M20" s="36"/>
      <c r="O20" s="1" t="s">
        <v>52</v>
      </c>
      <c r="P20" s="45" t="s">
        <v>65</v>
      </c>
      <c r="Q20" s="46"/>
      <c r="R20" s="46"/>
      <c r="S20" s="46"/>
      <c r="T20" s="47"/>
    </row>
    <row r="21" spans="1:20" ht="15" thickBot="1" x14ac:dyDescent="0.35">
      <c r="A21" s="9" t="s">
        <v>33</v>
      </c>
      <c r="B21" s="6">
        <v>7</v>
      </c>
      <c r="C21" s="40"/>
      <c r="D21" s="40"/>
      <c r="E21" s="1" t="s">
        <v>41</v>
      </c>
      <c r="F21" s="1" t="s">
        <v>48</v>
      </c>
      <c r="H21" s="1" t="s">
        <v>33</v>
      </c>
      <c r="I21" s="34" t="s">
        <v>57</v>
      </c>
      <c r="J21" s="35"/>
      <c r="K21" s="35"/>
      <c r="L21" s="35"/>
      <c r="M21" s="36"/>
      <c r="O21" s="1" t="s">
        <v>33</v>
      </c>
      <c r="P21" s="45" t="s">
        <v>65</v>
      </c>
      <c r="Q21" s="46"/>
      <c r="R21" s="46"/>
      <c r="S21" s="46"/>
      <c r="T21" s="47"/>
    </row>
    <row r="22" spans="1:20" ht="15" thickBot="1" x14ac:dyDescent="0.35">
      <c r="A22" s="9" t="s">
        <v>34</v>
      </c>
      <c r="B22" s="6">
        <v>9</v>
      </c>
      <c r="C22" s="40"/>
      <c r="D22" s="40"/>
      <c r="E22" s="1" t="s">
        <v>42</v>
      </c>
      <c r="F22" s="1" t="s">
        <v>49</v>
      </c>
      <c r="H22" s="1" t="s">
        <v>34</v>
      </c>
      <c r="I22" s="34" t="s">
        <v>58</v>
      </c>
      <c r="J22" s="35"/>
      <c r="K22" s="35"/>
      <c r="L22" s="35"/>
      <c r="M22" s="36"/>
      <c r="O22" s="1" t="s">
        <v>34</v>
      </c>
      <c r="P22" s="45" t="s">
        <v>66</v>
      </c>
      <c r="Q22" s="46"/>
      <c r="R22" s="46"/>
      <c r="S22" s="46"/>
      <c r="T22" s="47"/>
    </row>
    <row r="23" spans="1:20" ht="15" thickBot="1" x14ac:dyDescent="0.35">
      <c r="A23" s="9" t="s">
        <v>35</v>
      </c>
      <c r="B23" s="6">
        <v>12</v>
      </c>
      <c r="C23" s="41"/>
      <c r="D23" s="41"/>
      <c r="E23" s="1" t="s">
        <v>43</v>
      </c>
      <c r="F23" s="1" t="s">
        <v>50</v>
      </c>
      <c r="H23" s="1" t="s">
        <v>35</v>
      </c>
      <c r="I23" s="34" t="s">
        <v>59</v>
      </c>
      <c r="J23" s="35"/>
      <c r="K23" s="35"/>
      <c r="L23" s="35"/>
      <c r="M23" s="36"/>
      <c r="O23" s="1" t="s">
        <v>35</v>
      </c>
      <c r="P23" s="45" t="s">
        <v>67</v>
      </c>
      <c r="Q23" s="46"/>
      <c r="R23" s="46"/>
      <c r="S23" s="46"/>
      <c r="T23" s="47"/>
    </row>
  </sheetData>
  <mergeCells count="43">
    <mergeCell ref="P21:T21"/>
    <mergeCell ref="P22:T22"/>
    <mergeCell ref="P23:T23"/>
    <mergeCell ref="P16:T16"/>
    <mergeCell ref="P17:T17"/>
    <mergeCell ref="P18:T18"/>
    <mergeCell ref="P19:T19"/>
    <mergeCell ref="P20:T20"/>
    <mergeCell ref="M7:S7"/>
    <mergeCell ref="M8:S8"/>
    <mergeCell ref="M9:S9"/>
    <mergeCell ref="M10:S10"/>
    <mergeCell ref="C16:C23"/>
    <mergeCell ref="D16:D23"/>
    <mergeCell ref="H15:M15"/>
    <mergeCell ref="I16:M16"/>
    <mergeCell ref="I17:M17"/>
    <mergeCell ref="I18:M18"/>
    <mergeCell ref="I19:M19"/>
    <mergeCell ref="I20:M20"/>
    <mergeCell ref="I21:M21"/>
    <mergeCell ref="I22:M22"/>
    <mergeCell ref="I23:M23"/>
    <mergeCell ref="O15:T15"/>
    <mergeCell ref="A14:F14"/>
    <mergeCell ref="E7:E9"/>
    <mergeCell ref="F7:F9"/>
    <mergeCell ref="G7:G9"/>
    <mergeCell ref="I6:K6"/>
    <mergeCell ref="I7:K7"/>
    <mergeCell ref="I8:K8"/>
    <mergeCell ref="I9:K9"/>
    <mergeCell ref="A1:S2"/>
    <mergeCell ref="A4:G4"/>
    <mergeCell ref="A5:A6"/>
    <mergeCell ref="B5:B6"/>
    <mergeCell ref="C5:C6"/>
    <mergeCell ref="D5:D6"/>
    <mergeCell ref="G5:G6"/>
    <mergeCell ref="E6:F6"/>
    <mergeCell ref="M4:S4"/>
    <mergeCell ref="M5:S5"/>
    <mergeCell ref="M6:S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4C9E-B9D1-46B1-8FEF-2861F271AE38}">
  <dimension ref="A1:V25"/>
  <sheetViews>
    <sheetView workbookViewId="0">
      <selection activeCell="D22" sqref="D22"/>
    </sheetView>
  </sheetViews>
  <sheetFormatPr defaultRowHeight="14.4" x14ac:dyDescent="0.3"/>
  <sheetData>
    <row r="1" spans="1:22" ht="25.8" customHeight="1" thickBot="1" x14ac:dyDescent="0.35">
      <c r="A1" s="48" t="s">
        <v>68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4"/>
    </row>
    <row r="4" spans="1:22" ht="15" thickBot="1" x14ac:dyDescent="0.35"/>
    <row r="5" spans="1:22" ht="15" thickBot="1" x14ac:dyDescent="0.35">
      <c r="A5" s="5" t="s">
        <v>69</v>
      </c>
      <c r="B5" s="1"/>
      <c r="C5" s="1" t="s">
        <v>70</v>
      </c>
      <c r="D5" s="1"/>
      <c r="E5" s="1"/>
    </row>
    <row r="6" spans="1:22" ht="15" thickBot="1" x14ac:dyDescent="0.35">
      <c r="A6" s="5">
        <v>0</v>
      </c>
      <c r="B6" s="1">
        <v>2.3199999999999998</v>
      </c>
      <c r="C6" s="5">
        <v>9.81</v>
      </c>
      <c r="D6" s="5">
        <f>(B6^2*SIN(RADIANS((2*A6)))/C6)</f>
        <v>0</v>
      </c>
      <c r="E6" s="12">
        <f>(B6^2*SIN(RADIANS(A6))^2) /( 2*C6)</f>
        <v>0</v>
      </c>
    </row>
    <row r="7" spans="1:22" ht="15" thickBot="1" x14ac:dyDescent="0.35">
      <c r="A7" s="5">
        <v>20</v>
      </c>
      <c r="B7" s="1">
        <v>2.2400000000000002</v>
      </c>
      <c r="C7" s="5">
        <v>9.81</v>
      </c>
      <c r="D7" s="5">
        <f t="shared" ref="D7:D10" si="0">(B7^2*SIN(RADIANS((2*A7)))/C7)</f>
        <v>0.32877177475669517</v>
      </c>
      <c r="E7" s="12">
        <f t="shared" ref="E7:E10" si="1">(B7^2*SIN(RADIANS(A7))^2) /( 2*C7)</f>
        <v>2.9915784969577364E-2</v>
      </c>
    </row>
    <row r="8" spans="1:22" ht="15" thickBot="1" x14ac:dyDescent="0.35">
      <c r="A8" s="5">
        <v>30</v>
      </c>
      <c r="B8" s="1">
        <v>3.23</v>
      </c>
      <c r="C8" s="5">
        <v>9.81</v>
      </c>
      <c r="D8" s="5">
        <f t="shared" si="0"/>
        <v>0.92101492712973176</v>
      </c>
      <c r="E8" s="12">
        <f t="shared" si="1"/>
        <v>0.13293705402650355</v>
      </c>
    </row>
    <row r="9" spans="1:22" ht="15" thickBot="1" x14ac:dyDescent="0.35">
      <c r="A9" s="5">
        <v>55</v>
      </c>
      <c r="B9" s="1">
        <v>3.15</v>
      </c>
      <c r="C9" s="5">
        <v>9.81</v>
      </c>
      <c r="D9" s="5">
        <f t="shared" si="0"/>
        <v>0.95046891230868247</v>
      </c>
      <c r="E9" s="12">
        <f t="shared" si="1"/>
        <v>0.33935257064599761</v>
      </c>
    </row>
    <row r="10" spans="1:22" ht="15" thickBot="1" x14ac:dyDescent="0.35">
      <c r="A10" s="5">
        <v>90</v>
      </c>
      <c r="B10" s="1">
        <v>3.16</v>
      </c>
      <c r="C10" s="5">
        <v>9.81</v>
      </c>
      <c r="D10" s="5">
        <f t="shared" si="0"/>
        <v>1.2470787371391964E-16</v>
      </c>
      <c r="E10" s="12">
        <f t="shared" si="1"/>
        <v>0.50895005096839963</v>
      </c>
    </row>
    <row r="11" spans="1:22" x14ac:dyDescent="0.3">
      <c r="A11" s="14"/>
      <c r="C11" s="14"/>
    </row>
    <row r="14" spans="1:22" x14ac:dyDescent="0.3">
      <c r="A14" s="49" t="s">
        <v>71</v>
      </c>
      <c r="B14" s="49"/>
      <c r="C14" s="49" t="s">
        <v>72</v>
      </c>
      <c r="D14" s="49"/>
    </row>
    <row r="15" spans="1:22" x14ac:dyDescent="0.3">
      <c r="A15" s="49"/>
      <c r="B15" s="49"/>
      <c r="C15" s="49"/>
      <c r="D15" s="49"/>
    </row>
    <row r="16" spans="1:22" x14ac:dyDescent="0.3">
      <c r="A16" s="49"/>
      <c r="B16" s="49"/>
      <c r="C16" s="49"/>
      <c r="D16" s="49"/>
    </row>
    <row r="17" spans="1:18" x14ac:dyDescent="0.3">
      <c r="A17" s="49"/>
      <c r="B17" s="49"/>
      <c r="C17" s="49"/>
      <c r="D17" s="49"/>
    </row>
    <row r="21" spans="1:18" x14ac:dyDescent="0.3">
      <c r="E21" s="15"/>
    </row>
    <row r="22" spans="1:18" x14ac:dyDescent="0.3">
      <c r="E22" s="11"/>
    </row>
    <row r="24" spans="1:18" x14ac:dyDescent="0.3">
      <c r="R24" s="16"/>
    </row>
    <row r="25" spans="1:18" x14ac:dyDescent="0.3">
      <c r="P25" s="11"/>
    </row>
  </sheetData>
  <mergeCells count="5">
    <mergeCell ref="A1:V1"/>
    <mergeCell ref="A14:B14"/>
    <mergeCell ref="C14:D14"/>
    <mergeCell ref="A15:B17"/>
    <mergeCell ref="C15:D1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8D0E-D5C0-4E88-B7E9-E550D6CA30D5}">
  <dimension ref="A1:V21"/>
  <sheetViews>
    <sheetView tabSelected="1" workbookViewId="0">
      <selection activeCell="Q19" sqref="Q19"/>
    </sheetView>
  </sheetViews>
  <sheetFormatPr defaultRowHeight="14.4" x14ac:dyDescent="0.3"/>
  <cols>
    <col min="1" max="1" width="24.88671875" customWidth="1"/>
    <col min="2" max="2" width="19.109375" customWidth="1"/>
  </cols>
  <sheetData>
    <row r="1" spans="1:22" x14ac:dyDescent="0.3">
      <c r="A1" s="79" t="s">
        <v>73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</row>
    <row r="2" spans="1:22" ht="15" thickBot="1" x14ac:dyDescent="0.35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</row>
    <row r="3" spans="1:22" ht="15" thickBot="1" x14ac:dyDescent="0.35"/>
    <row r="4" spans="1:22" ht="15" thickBot="1" x14ac:dyDescent="0.35">
      <c r="A4" s="2" t="s">
        <v>74</v>
      </c>
      <c r="C4" s="54"/>
      <c r="D4" s="55"/>
      <c r="E4" s="55"/>
      <c r="F4" s="56"/>
      <c r="H4" s="61" t="s">
        <v>91</v>
      </c>
      <c r="I4" s="62"/>
      <c r="J4" s="62"/>
      <c r="K4" s="63"/>
    </row>
    <row r="5" spans="1:22" ht="15" thickBot="1" x14ac:dyDescent="0.35">
      <c r="A5" s="2" t="s">
        <v>75</v>
      </c>
      <c r="C5" s="54"/>
      <c r="D5" s="55"/>
      <c r="E5" s="55"/>
      <c r="F5" s="56"/>
      <c r="H5" s="64"/>
      <c r="I5" s="65"/>
      <c r="J5" s="65"/>
      <c r="K5" s="66"/>
    </row>
    <row r="6" spans="1:22" ht="15" thickBot="1" x14ac:dyDescent="0.35">
      <c r="A6" s="2" t="s">
        <v>76</v>
      </c>
      <c r="C6" s="57"/>
      <c r="D6" s="58"/>
      <c r="E6" s="58"/>
      <c r="F6" s="59"/>
      <c r="H6" s="67"/>
      <c r="I6" s="68"/>
      <c r="J6" s="68"/>
      <c r="K6" s="69"/>
    </row>
    <row r="7" spans="1:22" ht="15" thickBot="1" x14ac:dyDescent="0.35">
      <c r="A7" s="2" t="s">
        <v>77</v>
      </c>
      <c r="C7" s="60"/>
      <c r="D7" s="30"/>
      <c r="E7" s="30"/>
      <c r="F7" s="31"/>
      <c r="H7" s="61" t="s">
        <v>91</v>
      </c>
      <c r="I7" s="62"/>
      <c r="J7" s="62"/>
      <c r="K7" s="63"/>
    </row>
    <row r="8" spans="1:22" ht="15" thickBot="1" x14ac:dyDescent="0.35">
      <c r="A8" s="2" t="s">
        <v>78</v>
      </c>
      <c r="H8" s="67"/>
      <c r="I8" s="68"/>
      <c r="J8" s="68"/>
      <c r="K8" s="69"/>
    </row>
    <row r="9" spans="1:22" ht="15" thickBot="1" x14ac:dyDescent="0.35">
      <c r="A9" s="2" t="s">
        <v>83</v>
      </c>
      <c r="H9" s="45" t="s">
        <v>92</v>
      </c>
      <c r="I9" s="46"/>
      <c r="J9" s="46"/>
      <c r="K9" s="47"/>
    </row>
    <row r="10" spans="1:22" ht="15" thickBot="1" x14ac:dyDescent="0.35">
      <c r="A10" s="2"/>
    </row>
    <row r="11" spans="1:22" ht="15" thickBot="1" x14ac:dyDescent="0.35"/>
    <row r="12" spans="1:22" ht="15" thickBot="1" x14ac:dyDescent="0.35">
      <c r="A12" s="17"/>
      <c r="B12" s="17"/>
      <c r="C12" s="2"/>
      <c r="D12" s="2"/>
      <c r="E12" s="5" t="s">
        <v>4</v>
      </c>
      <c r="F12" s="5" t="s">
        <v>84</v>
      </c>
      <c r="H12" s="29"/>
      <c r="I12" s="37"/>
      <c r="J12" s="38"/>
      <c r="L12" s="50"/>
      <c r="M12" s="24"/>
      <c r="N12" s="25"/>
    </row>
    <row r="13" spans="1:22" ht="15" thickBot="1" x14ac:dyDescent="0.35">
      <c r="A13" s="32" t="s">
        <v>79</v>
      </c>
      <c r="B13" s="32" t="s">
        <v>80</v>
      </c>
      <c r="C13" s="13">
        <v>25.4</v>
      </c>
      <c r="D13" s="18">
        <v>29.8</v>
      </c>
      <c r="E13" s="32">
        <v>200</v>
      </c>
      <c r="F13" s="32" t="s">
        <v>85</v>
      </c>
      <c r="H13" s="29"/>
      <c r="I13" s="37"/>
      <c r="J13" s="38"/>
      <c r="L13" s="51"/>
      <c r="M13" s="52"/>
      <c r="N13" s="53"/>
    </row>
    <row r="14" spans="1:22" ht="15" thickBot="1" x14ac:dyDescent="0.35">
      <c r="A14" s="33"/>
      <c r="B14" s="33"/>
      <c r="C14" s="13" t="s">
        <v>81</v>
      </c>
      <c r="D14" s="18" t="s">
        <v>82</v>
      </c>
      <c r="E14" s="33"/>
      <c r="F14" s="33"/>
      <c r="H14" s="29"/>
      <c r="I14" s="37"/>
      <c r="J14" s="38"/>
      <c r="L14" s="26"/>
      <c r="M14" s="27"/>
      <c r="N14" s="28"/>
    </row>
    <row r="16" spans="1:22" ht="15" thickBot="1" x14ac:dyDescent="0.35"/>
    <row r="17" spans="1:13" ht="15" thickBot="1" x14ac:dyDescent="0.35">
      <c r="A17" s="34" t="s">
        <v>86</v>
      </c>
      <c r="B17" s="36"/>
      <c r="C17" s="70" t="s">
        <v>89</v>
      </c>
      <c r="D17" s="71"/>
      <c r="E17" s="71"/>
      <c r="F17" s="72"/>
      <c r="H17" s="45" t="s">
        <v>93</v>
      </c>
      <c r="I17" s="46"/>
      <c r="J17" s="46"/>
      <c r="K17" s="46"/>
      <c r="L17" s="46"/>
      <c r="M17" s="47"/>
    </row>
    <row r="18" spans="1:13" ht="15" thickBot="1" x14ac:dyDescent="0.35">
      <c r="A18" s="34" t="s">
        <v>87</v>
      </c>
      <c r="B18" s="35"/>
      <c r="C18" s="73" t="s">
        <v>90</v>
      </c>
      <c r="D18" s="74"/>
      <c r="E18" s="74"/>
      <c r="F18" s="75"/>
      <c r="H18" s="45" t="s">
        <v>93</v>
      </c>
      <c r="I18" s="46"/>
      <c r="J18" s="46"/>
      <c r="K18" s="46"/>
      <c r="L18" s="46"/>
      <c r="M18" s="47"/>
    </row>
    <row r="19" spans="1:13" ht="15" thickBot="1" x14ac:dyDescent="0.35">
      <c r="A19" s="34" t="s">
        <v>88</v>
      </c>
      <c r="B19" s="35"/>
      <c r="C19" s="76"/>
      <c r="D19" s="77"/>
      <c r="E19" s="77"/>
      <c r="F19" s="78"/>
      <c r="H19" s="45" t="s">
        <v>93</v>
      </c>
      <c r="I19" s="46"/>
      <c r="J19" s="46"/>
      <c r="K19" s="46"/>
      <c r="L19" s="46"/>
      <c r="M19" s="47"/>
    </row>
    <row r="20" spans="1:13" ht="15" thickBot="1" x14ac:dyDescent="0.35">
      <c r="H20" s="45" t="s">
        <v>93</v>
      </c>
      <c r="I20" s="46"/>
      <c r="J20" s="46"/>
      <c r="K20" s="46"/>
      <c r="L20" s="46"/>
      <c r="M20" s="47"/>
    </row>
    <row r="21" spans="1:13" ht="15" thickBot="1" x14ac:dyDescent="0.35">
      <c r="H21" s="45" t="s">
        <v>94</v>
      </c>
      <c r="I21" s="46"/>
      <c r="J21" s="46"/>
      <c r="K21" s="46"/>
      <c r="L21" s="46"/>
      <c r="M21" s="47"/>
    </row>
  </sheetData>
  <mergeCells count="25">
    <mergeCell ref="A18:B18"/>
    <mergeCell ref="A19:B19"/>
    <mergeCell ref="C17:F17"/>
    <mergeCell ref="C18:F19"/>
    <mergeCell ref="A1:V2"/>
    <mergeCell ref="A13:A14"/>
    <mergeCell ref="B13:B14"/>
    <mergeCell ref="E13:E14"/>
    <mergeCell ref="F13:F14"/>
    <mergeCell ref="A17:B17"/>
    <mergeCell ref="H12:J12"/>
    <mergeCell ref="H13:J13"/>
    <mergeCell ref="H14:J14"/>
    <mergeCell ref="C4:F4"/>
    <mergeCell ref="H21:M21"/>
    <mergeCell ref="L12:N14"/>
    <mergeCell ref="C5:F6"/>
    <mergeCell ref="C7:F7"/>
    <mergeCell ref="H4:K6"/>
    <mergeCell ref="H7:K8"/>
    <mergeCell ref="H9:K9"/>
    <mergeCell ref="H17:M17"/>
    <mergeCell ref="H18:M18"/>
    <mergeCell ref="H19:M19"/>
    <mergeCell ref="H20:M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61CC-20AC-42B6-96B8-835EF020A0B8}">
  <dimension ref="A1:W22"/>
  <sheetViews>
    <sheetView topLeftCell="D1" workbookViewId="0">
      <selection activeCell="G5" sqref="G5"/>
    </sheetView>
  </sheetViews>
  <sheetFormatPr defaultRowHeight="14.4" x14ac:dyDescent="0.3"/>
  <cols>
    <col min="1" max="1" width="11.5546875" customWidth="1"/>
    <col min="2" max="2" width="13.109375" customWidth="1"/>
    <col min="3" max="3" width="12.109375" customWidth="1"/>
    <col min="4" max="4" width="13.109375" customWidth="1"/>
    <col min="5" max="5" width="17.109375" customWidth="1"/>
    <col min="6" max="6" width="18" customWidth="1"/>
    <col min="7" max="7" width="16.5546875" customWidth="1"/>
    <col min="8" max="8" width="17.77734375" customWidth="1"/>
    <col min="9" max="9" width="22.5546875" customWidth="1"/>
  </cols>
  <sheetData>
    <row r="1" spans="1:23" ht="14.4" customHeight="1" x14ac:dyDescent="0.3">
      <c r="A1" s="85" t="s">
        <v>95</v>
      </c>
      <c r="B1" s="86"/>
      <c r="C1" s="86"/>
      <c r="D1" s="86"/>
      <c r="E1" s="86"/>
      <c r="F1" s="86"/>
      <c r="G1" s="86"/>
      <c r="H1" s="86"/>
      <c r="I1" s="87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15" customHeight="1" thickBot="1" x14ac:dyDescent="0.35">
      <c r="A2" s="88"/>
      <c r="B2" s="89"/>
      <c r="C2" s="89"/>
      <c r="D2" s="89"/>
      <c r="E2" s="89"/>
      <c r="F2" s="89"/>
      <c r="G2" s="89"/>
      <c r="H2" s="89"/>
      <c r="I2" s="90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40" t="s">
        <v>23</v>
      </c>
      <c r="B3" s="40" t="s">
        <v>96</v>
      </c>
      <c r="C3" s="91"/>
      <c r="D3" s="91"/>
      <c r="E3" s="91"/>
      <c r="F3" s="91"/>
      <c r="G3" s="40" t="s">
        <v>97</v>
      </c>
      <c r="H3" s="40" t="s">
        <v>98</v>
      </c>
      <c r="I3" s="39" t="s">
        <v>99</v>
      </c>
    </row>
    <row r="4" spans="1:23" ht="15" thickBot="1" x14ac:dyDescent="0.35">
      <c r="A4" s="41"/>
      <c r="B4" s="41"/>
      <c r="C4" s="92"/>
      <c r="D4" s="92"/>
      <c r="E4" s="92"/>
      <c r="F4" s="92"/>
      <c r="G4" s="41"/>
      <c r="H4" s="41"/>
      <c r="I4" s="41"/>
    </row>
    <row r="5" spans="1:23" ht="15" thickBot="1" x14ac:dyDescent="0.35">
      <c r="A5" s="5">
        <v>10</v>
      </c>
      <c r="B5" s="5">
        <v>0.01</v>
      </c>
      <c r="C5" s="5" t="s">
        <v>100</v>
      </c>
      <c r="D5" s="5" t="s">
        <v>101</v>
      </c>
      <c r="E5" s="1"/>
      <c r="F5" s="1"/>
      <c r="G5" s="5">
        <f>PRODUCT(B5,9.81)</f>
        <v>9.8100000000000007E-2</v>
      </c>
      <c r="H5" s="1" t="s">
        <v>112</v>
      </c>
      <c r="I5" s="1" t="s">
        <v>120</v>
      </c>
    </row>
    <row r="6" spans="1:23" ht="15" thickBot="1" x14ac:dyDescent="0.35">
      <c r="A6" s="5">
        <v>20</v>
      </c>
      <c r="B6" s="5">
        <v>0.02</v>
      </c>
      <c r="C6" s="5" t="s">
        <v>100</v>
      </c>
      <c r="D6" s="5" t="s">
        <v>102</v>
      </c>
      <c r="E6" s="1"/>
      <c r="F6" s="1"/>
      <c r="G6" s="5">
        <f>PRODUCT(B6,9.81)</f>
        <v>0.19620000000000001</v>
      </c>
      <c r="H6" s="1" t="s">
        <v>114</v>
      </c>
      <c r="I6" s="1" t="s">
        <v>120</v>
      </c>
    </row>
    <row r="7" spans="1:23" ht="15" thickBot="1" x14ac:dyDescent="0.35">
      <c r="A7" s="5">
        <v>30</v>
      </c>
      <c r="B7" s="5">
        <v>0.03</v>
      </c>
      <c r="C7" s="5" t="s">
        <v>100</v>
      </c>
      <c r="D7" s="5" t="s">
        <v>103</v>
      </c>
      <c r="E7" s="1"/>
      <c r="F7" s="1"/>
      <c r="G7" s="5">
        <f t="shared" ref="G7:G15" si="0">PRODUCT(B7,9.81)</f>
        <v>0.29430000000000001</v>
      </c>
      <c r="H7" s="1" t="s">
        <v>115</v>
      </c>
      <c r="I7" s="1" t="s">
        <v>121</v>
      </c>
    </row>
    <row r="8" spans="1:23" ht="15" thickBot="1" x14ac:dyDescent="0.35">
      <c r="A8" s="5">
        <v>40</v>
      </c>
      <c r="B8" s="5">
        <v>0.04</v>
      </c>
      <c r="C8" s="5" t="s">
        <v>100</v>
      </c>
      <c r="D8" s="5" t="s">
        <v>104</v>
      </c>
      <c r="E8" s="1"/>
      <c r="F8" s="1"/>
      <c r="G8" s="5">
        <f t="shared" si="0"/>
        <v>0.39240000000000003</v>
      </c>
      <c r="H8" s="1" t="s">
        <v>116</v>
      </c>
      <c r="I8" s="1" t="s">
        <v>121</v>
      </c>
    </row>
    <row r="9" spans="1:23" ht="15" thickBot="1" x14ac:dyDescent="0.35">
      <c r="A9" s="5">
        <v>50</v>
      </c>
      <c r="B9" s="5">
        <v>0.05</v>
      </c>
      <c r="C9" s="5" t="s">
        <v>100</v>
      </c>
      <c r="D9" s="5" t="s">
        <v>105</v>
      </c>
      <c r="E9" s="1"/>
      <c r="F9" s="1"/>
      <c r="G9" s="5">
        <f t="shared" si="0"/>
        <v>0.49050000000000005</v>
      </c>
      <c r="H9" s="1" t="s">
        <v>114</v>
      </c>
      <c r="I9" s="1" t="s">
        <v>121</v>
      </c>
    </row>
    <row r="10" spans="1:23" ht="15" thickBot="1" x14ac:dyDescent="0.35">
      <c r="A10" s="5">
        <v>60</v>
      </c>
      <c r="B10" s="5">
        <v>0.06</v>
      </c>
      <c r="C10" s="5" t="s">
        <v>100</v>
      </c>
      <c r="D10" s="5" t="s">
        <v>106</v>
      </c>
      <c r="E10" s="1"/>
      <c r="F10" s="1"/>
      <c r="G10" s="5">
        <f t="shared" si="0"/>
        <v>0.58860000000000001</v>
      </c>
      <c r="H10" s="1" t="s">
        <v>117</v>
      </c>
      <c r="I10" s="1" t="s">
        <v>121</v>
      </c>
    </row>
    <row r="11" spans="1:23" ht="15" thickBot="1" x14ac:dyDescent="0.35">
      <c r="A11" s="5">
        <v>70</v>
      </c>
      <c r="B11" s="5">
        <v>7.0000000000000007E-2</v>
      </c>
      <c r="C11" s="5" t="s">
        <v>100</v>
      </c>
      <c r="D11" s="5" t="s">
        <v>107</v>
      </c>
      <c r="E11" s="1"/>
      <c r="F11" s="1"/>
      <c r="G11" s="5">
        <f t="shared" si="0"/>
        <v>0.68670000000000009</v>
      </c>
      <c r="H11" s="1" t="s">
        <v>118</v>
      </c>
      <c r="I11" s="1" t="s">
        <v>121</v>
      </c>
    </row>
    <row r="12" spans="1:23" ht="15" thickBot="1" x14ac:dyDescent="0.35">
      <c r="A12" s="5">
        <v>80</v>
      </c>
      <c r="B12" s="5">
        <v>0.08</v>
      </c>
      <c r="C12" s="5" t="s">
        <v>100</v>
      </c>
      <c r="D12" s="5" t="s">
        <v>108</v>
      </c>
      <c r="E12" s="1"/>
      <c r="F12" s="1"/>
      <c r="G12" s="5">
        <f t="shared" si="0"/>
        <v>0.78480000000000005</v>
      </c>
      <c r="H12" s="1" t="s">
        <v>119</v>
      </c>
      <c r="I12" s="1" t="s">
        <v>121</v>
      </c>
    </row>
    <row r="13" spans="1:23" ht="15" thickBot="1" x14ac:dyDescent="0.35">
      <c r="A13" s="5">
        <v>90</v>
      </c>
      <c r="B13" s="5">
        <v>0.09</v>
      </c>
      <c r="C13" s="5" t="s">
        <v>100</v>
      </c>
      <c r="D13" s="5" t="s">
        <v>109</v>
      </c>
      <c r="E13" s="1"/>
      <c r="F13" s="1"/>
      <c r="G13" s="5">
        <f t="shared" si="0"/>
        <v>0.88290000000000002</v>
      </c>
      <c r="H13" s="1" t="s">
        <v>113</v>
      </c>
      <c r="I13" s="1" t="s">
        <v>121</v>
      </c>
    </row>
    <row r="14" spans="1:23" ht="15" thickBot="1" x14ac:dyDescent="0.35">
      <c r="A14" s="5">
        <v>100</v>
      </c>
      <c r="B14" s="5">
        <v>0.1</v>
      </c>
      <c r="C14" s="5" t="s">
        <v>100</v>
      </c>
      <c r="D14" s="5" t="s">
        <v>110</v>
      </c>
      <c r="E14" s="1"/>
      <c r="F14" s="1"/>
      <c r="G14" s="5">
        <f t="shared" si="0"/>
        <v>0.98100000000000009</v>
      </c>
      <c r="H14" s="1" t="s">
        <v>117</v>
      </c>
      <c r="I14" s="1" t="s">
        <v>120</v>
      </c>
    </row>
    <row r="15" spans="1:23" ht="15" thickBot="1" x14ac:dyDescent="0.35">
      <c r="A15" s="5">
        <v>110</v>
      </c>
      <c r="B15" s="5">
        <v>0.11</v>
      </c>
      <c r="C15" s="5" t="s">
        <v>100</v>
      </c>
      <c r="D15" s="5" t="s">
        <v>111</v>
      </c>
      <c r="E15" s="1"/>
      <c r="F15" s="1"/>
      <c r="G15" s="5">
        <f t="shared" si="0"/>
        <v>1.0791000000000002</v>
      </c>
      <c r="H15" s="1" t="s">
        <v>113</v>
      </c>
      <c r="I15" s="1" t="s">
        <v>120</v>
      </c>
    </row>
    <row r="16" spans="1:23" ht="15" thickBot="1" x14ac:dyDescent="0.35"/>
    <row r="17" spans="1:9" x14ac:dyDescent="0.3">
      <c r="A17" s="73" t="s">
        <v>125</v>
      </c>
      <c r="B17" s="74"/>
      <c r="C17" s="74"/>
      <c r="D17" s="74"/>
      <c r="E17" s="74"/>
      <c r="F17" s="74"/>
      <c r="G17" s="74"/>
      <c r="H17" s="74"/>
      <c r="I17" s="75"/>
    </row>
    <row r="18" spans="1:9" ht="15" thickBot="1" x14ac:dyDescent="0.35">
      <c r="A18" s="76"/>
      <c r="B18" s="77"/>
      <c r="C18" s="77"/>
      <c r="D18" s="77"/>
      <c r="E18" s="77"/>
      <c r="F18" s="77"/>
      <c r="G18" s="77"/>
      <c r="H18" s="77"/>
      <c r="I18" s="78"/>
    </row>
    <row r="19" spans="1:9" x14ac:dyDescent="0.3">
      <c r="A19" s="73" t="s">
        <v>123</v>
      </c>
      <c r="B19" s="74"/>
      <c r="C19" s="74"/>
      <c r="D19" s="74"/>
      <c r="E19" s="74"/>
      <c r="F19" s="74"/>
      <c r="G19" s="74"/>
      <c r="H19" s="74"/>
      <c r="I19" s="75"/>
    </row>
    <row r="20" spans="1:9" ht="15" thickBot="1" x14ac:dyDescent="0.35">
      <c r="A20" s="76"/>
      <c r="B20" s="77"/>
      <c r="C20" s="77"/>
      <c r="D20" s="77"/>
      <c r="E20" s="77"/>
      <c r="F20" s="77"/>
      <c r="G20" s="77"/>
      <c r="H20" s="77"/>
      <c r="I20" s="78"/>
    </row>
    <row r="21" spans="1:9" x14ac:dyDescent="0.3">
      <c r="A21" s="73" t="s">
        <v>124</v>
      </c>
      <c r="B21" s="74"/>
      <c r="C21" s="74"/>
      <c r="D21" s="74"/>
      <c r="E21" s="74"/>
      <c r="F21" s="74"/>
      <c r="G21" s="74"/>
      <c r="H21" s="74"/>
      <c r="I21" s="75"/>
    </row>
    <row r="22" spans="1:9" ht="15" thickBot="1" x14ac:dyDescent="0.35">
      <c r="A22" s="76"/>
      <c r="B22" s="77"/>
      <c r="C22" s="77"/>
      <c r="D22" s="77"/>
      <c r="E22" s="77"/>
      <c r="F22" s="77"/>
      <c r="G22" s="77"/>
      <c r="H22" s="77"/>
      <c r="I22" s="78"/>
    </row>
  </sheetData>
  <mergeCells count="13">
    <mergeCell ref="A1:I2"/>
    <mergeCell ref="A17:I18"/>
    <mergeCell ref="A19:I20"/>
    <mergeCell ref="A21:I2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7C27-F303-40FC-88FF-885FA9A92491}">
  <dimension ref="A1:T16"/>
  <sheetViews>
    <sheetView workbookViewId="0">
      <selection activeCell="O20" sqref="O20"/>
    </sheetView>
  </sheetViews>
  <sheetFormatPr defaultRowHeight="14.4" x14ac:dyDescent="0.3"/>
  <sheetData>
    <row r="1" spans="1:20" x14ac:dyDescent="0.3">
      <c r="A1" s="93" t="s">
        <v>122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0" ht="15" thickBot="1" x14ac:dyDescent="0.35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</row>
    <row r="5" spans="1:20" ht="15" thickBot="1" x14ac:dyDescent="0.35"/>
    <row r="6" spans="1:20" ht="15" thickBot="1" x14ac:dyDescent="0.35">
      <c r="A6" s="60" t="s">
        <v>126</v>
      </c>
      <c r="B6" s="30"/>
      <c r="C6" s="30"/>
      <c r="D6" s="30"/>
      <c r="E6" s="30"/>
      <c r="F6" s="31"/>
    </row>
    <row r="7" spans="1:20" ht="15" thickBot="1" x14ac:dyDescent="0.35">
      <c r="A7" s="60"/>
      <c r="B7" s="30"/>
      <c r="C7" s="30"/>
      <c r="D7" s="30"/>
      <c r="E7" s="30"/>
      <c r="F7" s="31"/>
    </row>
    <row r="9" spans="1:20" ht="15" thickBot="1" x14ac:dyDescent="0.35"/>
    <row r="10" spans="1:20" ht="16.2" thickBot="1" x14ac:dyDescent="0.35">
      <c r="A10" s="45" t="s">
        <v>127</v>
      </c>
      <c r="B10" s="46"/>
      <c r="C10" s="46"/>
      <c r="D10" s="46"/>
      <c r="E10" s="46"/>
      <c r="F10" s="47"/>
      <c r="I10" s="20"/>
      <c r="J10" s="20" t="s">
        <v>134</v>
      </c>
      <c r="K10" s="20" t="s">
        <v>135</v>
      </c>
      <c r="L10" s="20" t="s">
        <v>136</v>
      </c>
      <c r="M10" s="20" t="s">
        <v>137</v>
      </c>
      <c r="N10" s="21" t="s">
        <v>138</v>
      </c>
    </row>
    <row r="11" spans="1:20" ht="16.2" thickBot="1" x14ac:dyDescent="0.35">
      <c r="A11" s="45" t="s">
        <v>128</v>
      </c>
      <c r="B11" s="46"/>
      <c r="C11" s="46"/>
      <c r="D11" s="46"/>
      <c r="E11" s="46"/>
      <c r="F11" s="47"/>
      <c r="I11" s="22" t="s">
        <v>139</v>
      </c>
      <c r="J11" s="22">
        <v>22.34</v>
      </c>
      <c r="K11" s="22">
        <v>29.1</v>
      </c>
      <c r="L11" s="22">
        <f>K11-J11</f>
        <v>6.7600000000000016</v>
      </c>
      <c r="M11" s="22">
        <f>100-K11</f>
        <v>70.900000000000006</v>
      </c>
      <c r="N11" s="22">
        <v>0.48</v>
      </c>
    </row>
    <row r="12" spans="1:20" ht="16.2" thickBot="1" x14ac:dyDescent="0.35">
      <c r="A12" s="45" t="s">
        <v>129</v>
      </c>
      <c r="B12" s="46"/>
      <c r="C12" s="46"/>
      <c r="D12" s="46"/>
      <c r="E12" s="46"/>
      <c r="F12" s="47"/>
      <c r="I12" s="22" t="s">
        <v>140</v>
      </c>
      <c r="J12" s="22">
        <v>22.77</v>
      </c>
      <c r="K12" s="22">
        <v>28.14</v>
      </c>
      <c r="L12" s="22">
        <f t="shared" ref="L12:L13" si="0">K12-J12</f>
        <v>5.370000000000001</v>
      </c>
      <c r="M12" s="22">
        <f t="shared" ref="M12:M13" si="1">100-K12</f>
        <v>71.86</v>
      </c>
      <c r="N12" s="22">
        <v>0.38</v>
      </c>
    </row>
    <row r="13" spans="1:20" ht="16.2" thickBot="1" x14ac:dyDescent="0.35">
      <c r="A13" s="45" t="s">
        <v>130</v>
      </c>
      <c r="B13" s="46"/>
      <c r="C13" s="46"/>
      <c r="D13" s="46"/>
      <c r="E13" s="46"/>
      <c r="F13" s="47"/>
      <c r="I13" s="22" t="s">
        <v>141</v>
      </c>
      <c r="J13" s="22">
        <v>21.39</v>
      </c>
      <c r="K13" s="22">
        <v>29.78</v>
      </c>
      <c r="L13" s="22">
        <f t="shared" si="0"/>
        <v>8.39</v>
      </c>
      <c r="M13" s="22">
        <f t="shared" si="1"/>
        <v>70.22</v>
      </c>
      <c r="N13" s="22">
        <v>0.91</v>
      </c>
    </row>
    <row r="14" spans="1:20" ht="16.2" thickBot="1" x14ac:dyDescent="0.35">
      <c r="A14" s="45" t="s">
        <v>131</v>
      </c>
      <c r="B14" s="46"/>
      <c r="C14" s="46"/>
      <c r="D14" s="46"/>
      <c r="E14" s="46"/>
      <c r="F14" s="47"/>
    </row>
    <row r="15" spans="1:20" ht="16.2" thickBot="1" x14ac:dyDescent="0.35">
      <c r="A15" s="45" t="s">
        <v>132</v>
      </c>
      <c r="B15" s="46"/>
      <c r="C15" s="46"/>
      <c r="D15" s="46"/>
      <c r="E15" s="46"/>
      <c r="F15" s="47"/>
    </row>
    <row r="16" spans="1:20" ht="16.2" thickBot="1" x14ac:dyDescent="0.35">
      <c r="A16" s="45" t="s">
        <v>133</v>
      </c>
      <c r="B16" s="46"/>
      <c r="C16" s="46"/>
      <c r="D16" s="46"/>
      <c r="E16" s="46"/>
      <c r="F16" s="47"/>
    </row>
  </sheetData>
  <mergeCells count="10">
    <mergeCell ref="A13:F13"/>
    <mergeCell ref="A14:F14"/>
    <mergeCell ref="A15:F15"/>
    <mergeCell ref="A16:F16"/>
    <mergeCell ref="A1:T2"/>
    <mergeCell ref="A6:F6"/>
    <mergeCell ref="A7:F7"/>
    <mergeCell ref="A10:F10"/>
    <mergeCell ref="A11:F11"/>
    <mergeCell ref="A12:F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CFAA-45DE-4AE6-BAD2-610C8B718491}">
  <dimension ref="A1:U18"/>
  <sheetViews>
    <sheetView workbookViewId="0">
      <selection activeCell="E10" sqref="E10"/>
    </sheetView>
  </sheetViews>
  <sheetFormatPr defaultRowHeight="14.4" x14ac:dyDescent="0.3"/>
  <cols>
    <col min="5" max="5" width="12.33203125" customWidth="1"/>
    <col min="6" max="6" width="14.5546875" customWidth="1"/>
    <col min="7" max="7" width="14.44140625" customWidth="1"/>
    <col min="8" max="8" width="14.6640625" customWidth="1"/>
  </cols>
  <sheetData>
    <row r="1" spans="1:21" x14ac:dyDescent="0.3">
      <c r="A1" s="100" t="s">
        <v>142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/>
    </row>
    <row r="2" spans="1:21" ht="15" thickBot="1" x14ac:dyDescent="0.35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4" spans="1:21" ht="15" thickBot="1" x14ac:dyDescent="0.35"/>
    <row r="5" spans="1:21" ht="15" thickBot="1" x14ac:dyDescent="0.35">
      <c r="A5" s="29" t="s">
        <v>143</v>
      </c>
      <c r="B5" s="37"/>
      <c r="C5" s="37"/>
      <c r="D5" s="37"/>
      <c r="E5" s="37"/>
      <c r="F5" s="37"/>
      <c r="G5" s="37"/>
      <c r="H5" s="38"/>
    </row>
    <row r="6" spans="1:21" ht="15" thickBot="1" x14ac:dyDescent="0.35">
      <c r="A6" s="39" t="s">
        <v>2</v>
      </c>
      <c r="B6" s="39" t="s">
        <v>144</v>
      </c>
      <c r="C6" s="39" t="s">
        <v>4</v>
      </c>
      <c r="D6" s="39" t="s">
        <v>84</v>
      </c>
      <c r="E6" s="39" t="s">
        <v>145</v>
      </c>
      <c r="F6" s="1" t="s">
        <v>6</v>
      </c>
      <c r="G6" s="1" t="s">
        <v>7</v>
      </c>
      <c r="H6" s="39" t="s">
        <v>8</v>
      </c>
    </row>
    <row r="7" spans="1:21" ht="15" thickBot="1" x14ac:dyDescent="0.35">
      <c r="A7" s="41"/>
      <c r="B7" s="41"/>
      <c r="C7" s="41"/>
      <c r="D7" s="41"/>
      <c r="E7" s="41"/>
      <c r="F7" s="60" t="s">
        <v>9</v>
      </c>
      <c r="G7" s="31"/>
      <c r="H7" s="41"/>
    </row>
    <row r="8" spans="1:21" ht="15" thickBot="1" x14ac:dyDescent="0.35">
      <c r="A8" s="5">
        <v>1</v>
      </c>
      <c r="B8" s="5">
        <v>30</v>
      </c>
      <c r="C8" s="5">
        <v>30</v>
      </c>
      <c r="D8" s="5">
        <v>20</v>
      </c>
      <c r="E8" s="5">
        <v>31</v>
      </c>
      <c r="F8" s="39">
        <f>SUM(E8,E9,E10)/3</f>
        <v>28.733333333333331</v>
      </c>
      <c r="G8" s="39">
        <f>E8-F8</f>
        <v>2.2666666666666693</v>
      </c>
      <c r="H8" s="39">
        <f>G8/F8*100%</f>
        <v>7.8886310904872484E-2</v>
      </c>
      <c r="J8" s="45" t="s">
        <v>146</v>
      </c>
      <c r="K8" s="46"/>
      <c r="L8" s="46"/>
      <c r="M8" s="47"/>
    </row>
    <row r="9" spans="1:21" ht="15" thickBot="1" x14ac:dyDescent="0.35">
      <c r="A9" s="5">
        <v>2</v>
      </c>
      <c r="B9" s="5">
        <v>26</v>
      </c>
      <c r="C9" s="5">
        <v>26</v>
      </c>
      <c r="D9" s="5">
        <v>20</v>
      </c>
      <c r="E9" s="5">
        <v>26.3</v>
      </c>
      <c r="F9" s="40"/>
      <c r="G9" s="40"/>
      <c r="H9" s="40"/>
      <c r="J9" s="45" t="s">
        <v>147</v>
      </c>
      <c r="K9" s="46"/>
      <c r="L9" s="46"/>
      <c r="M9" s="47"/>
    </row>
    <row r="10" spans="1:21" ht="15" thickBot="1" x14ac:dyDescent="0.35">
      <c r="A10" s="5">
        <v>3</v>
      </c>
      <c r="B10" s="5">
        <v>28</v>
      </c>
      <c r="C10" s="5">
        <v>28</v>
      </c>
      <c r="D10" s="5">
        <v>20</v>
      </c>
      <c r="E10" s="5">
        <v>28.9</v>
      </c>
      <c r="F10" s="41"/>
      <c r="G10" s="41"/>
      <c r="H10" s="41"/>
      <c r="J10" s="45" t="s">
        <v>148</v>
      </c>
      <c r="K10" s="46"/>
      <c r="L10" s="46"/>
      <c r="M10" s="47"/>
    </row>
    <row r="12" spans="1:21" ht="15" thickBot="1" x14ac:dyDescent="0.35"/>
    <row r="13" spans="1:21" ht="15" thickBot="1" x14ac:dyDescent="0.35">
      <c r="A13" s="29" t="s">
        <v>149</v>
      </c>
      <c r="B13" s="37"/>
      <c r="C13" s="37"/>
      <c r="D13" s="37"/>
      <c r="E13" s="37"/>
      <c r="F13" s="37"/>
      <c r="G13" s="37"/>
      <c r="H13" s="38"/>
    </row>
    <row r="14" spans="1:21" ht="15" thickBot="1" x14ac:dyDescent="0.35">
      <c r="A14" s="39" t="s">
        <v>2</v>
      </c>
      <c r="B14" s="39" t="s">
        <v>144</v>
      </c>
      <c r="C14" s="39" t="s">
        <v>4</v>
      </c>
      <c r="D14" s="39" t="s">
        <v>84</v>
      </c>
      <c r="E14" s="39" t="s">
        <v>145</v>
      </c>
      <c r="F14" s="1" t="s">
        <v>6</v>
      </c>
      <c r="G14" s="1" t="s">
        <v>7</v>
      </c>
      <c r="H14" s="99" t="s">
        <v>8</v>
      </c>
    </row>
    <row r="15" spans="1:21" ht="15" thickBot="1" x14ac:dyDescent="0.35">
      <c r="A15" s="41"/>
      <c r="B15" s="41"/>
      <c r="C15" s="41"/>
      <c r="D15" s="41"/>
      <c r="E15" s="41"/>
      <c r="F15" s="60" t="s">
        <v>9</v>
      </c>
      <c r="G15" s="31"/>
      <c r="H15" s="92"/>
    </row>
    <row r="16" spans="1:21" ht="15" thickBot="1" x14ac:dyDescent="0.35">
      <c r="A16" s="5">
        <v>1</v>
      </c>
      <c r="B16" s="5">
        <v>140</v>
      </c>
      <c r="C16" s="5">
        <v>4</v>
      </c>
      <c r="D16" s="5">
        <v>20</v>
      </c>
      <c r="E16" s="5">
        <v>140.19999999999999</v>
      </c>
      <c r="F16" s="99">
        <f>(E16+E17+E18)/3</f>
        <v>140.56666666666669</v>
      </c>
      <c r="G16" s="99">
        <f>E17-F16</f>
        <v>0.33333333333331439</v>
      </c>
      <c r="H16" s="99">
        <f>(G16/F16)*100%</f>
        <v>2.3713540431585084E-3</v>
      </c>
      <c r="J16" s="60" t="s">
        <v>150</v>
      </c>
      <c r="K16" s="30"/>
      <c r="L16" s="30"/>
      <c r="M16" s="31"/>
    </row>
    <row r="17" spans="1:13" ht="15" thickBot="1" x14ac:dyDescent="0.35">
      <c r="A17" s="5">
        <v>2</v>
      </c>
      <c r="B17" s="5">
        <v>140</v>
      </c>
      <c r="C17" s="5">
        <v>18</v>
      </c>
      <c r="D17" s="5">
        <v>20</v>
      </c>
      <c r="E17" s="5">
        <v>140.9</v>
      </c>
      <c r="F17" s="91"/>
      <c r="G17" s="91"/>
      <c r="H17" s="91"/>
      <c r="J17" s="60" t="s">
        <v>151</v>
      </c>
      <c r="K17" s="30"/>
      <c r="L17" s="30"/>
      <c r="M17" s="31"/>
    </row>
    <row r="18" spans="1:13" ht="15" thickBot="1" x14ac:dyDescent="0.35">
      <c r="A18" s="5">
        <v>3</v>
      </c>
      <c r="B18" s="5">
        <v>140</v>
      </c>
      <c r="C18" s="5">
        <v>12</v>
      </c>
      <c r="D18" s="5">
        <v>20</v>
      </c>
      <c r="E18" s="5">
        <v>140.6</v>
      </c>
      <c r="F18" s="92"/>
      <c r="G18" s="92"/>
      <c r="H18" s="92"/>
      <c r="J18" s="60" t="s">
        <v>152</v>
      </c>
      <c r="K18" s="30"/>
      <c r="L18" s="30"/>
      <c r="M18" s="31"/>
    </row>
  </sheetData>
  <mergeCells count="29">
    <mergeCell ref="A1:U2"/>
    <mergeCell ref="A5:H5"/>
    <mergeCell ref="A6:A7"/>
    <mergeCell ref="B6:B7"/>
    <mergeCell ref="C6:C7"/>
    <mergeCell ref="D6:D7"/>
    <mergeCell ref="E6:E7"/>
    <mergeCell ref="F7:G7"/>
    <mergeCell ref="H6:H7"/>
    <mergeCell ref="F8:F10"/>
    <mergeCell ref="G8:G10"/>
    <mergeCell ref="H8:H10"/>
    <mergeCell ref="J8:M8"/>
    <mergeCell ref="J9:M9"/>
    <mergeCell ref="J10:M10"/>
    <mergeCell ref="A13:H13"/>
    <mergeCell ref="A14:A15"/>
    <mergeCell ref="B14:B15"/>
    <mergeCell ref="C14:C15"/>
    <mergeCell ref="D14:D15"/>
    <mergeCell ref="E14:E15"/>
    <mergeCell ref="F15:G15"/>
    <mergeCell ref="H14:H15"/>
    <mergeCell ref="F16:F18"/>
    <mergeCell ref="G16:G18"/>
    <mergeCell ref="H16:H18"/>
    <mergeCell ref="J16:M16"/>
    <mergeCell ref="J17:M17"/>
    <mergeCell ref="J18:M18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BE23-A098-4A2B-95AE-EB9651075427}">
  <dimension ref="A1:S10"/>
  <sheetViews>
    <sheetView workbookViewId="0">
      <selection activeCell="F17" sqref="F17"/>
    </sheetView>
  </sheetViews>
  <sheetFormatPr defaultRowHeight="14.4" x14ac:dyDescent="0.3"/>
  <sheetData>
    <row r="1" spans="1:19" x14ac:dyDescent="0.3">
      <c r="A1" s="100" t="s">
        <v>153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2"/>
    </row>
    <row r="2" spans="1:19" ht="15" thickBot="1" x14ac:dyDescent="0.35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5"/>
    </row>
    <row r="4" spans="1:19" ht="15" thickBot="1" x14ac:dyDescent="0.35"/>
    <row r="5" spans="1:19" ht="15" thickBot="1" x14ac:dyDescent="0.35">
      <c r="A5" s="1" t="s">
        <v>154</v>
      </c>
      <c r="B5" s="1" t="s">
        <v>155</v>
      </c>
      <c r="C5" s="1" t="s">
        <v>156</v>
      </c>
      <c r="D5" s="1"/>
      <c r="E5" s="1" t="s">
        <v>70</v>
      </c>
    </row>
    <row r="6" spans="1:19" ht="15" thickBot="1" x14ac:dyDescent="0.35">
      <c r="A6" s="1">
        <v>25</v>
      </c>
      <c r="B6" s="1">
        <v>0.25</v>
      </c>
      <c r="C6" s="1">
        <v>0.26600000000000001</v>
      </c>
      <c r="D6" s="1">
        <f>C6^2</f>
        <v>7.0756000000000013E-2</v>
      </c>
      <c r="E6" s="1">
        <f>9.81*(B6/C6^2)</f>
        <v>34.661371473797267</v>
      </c>
    </row>
    <row r="7" spans="1:19" ht="15" thickBot="1" x14ac:dyDescent="0.35">
      <c r="A7" s="1">
        <v>35</v>
      </c>
      <c r="B7" s="1">
        <v>0.35</v>
      </c>
      <c r="C7" s="1">
        <v>0.33200000000000002</v>
      </c>
      <c r="D7" s="1">
        <f t="shared" ref="D7:D9" si="0">C7^2</f>
        <v>0.11022400000000002</v>
      </c>
      <c r="E7" s="1">
        <f t="shared" ref="E7:E10" si="1">9.81*(B7/C7^2)</f>
        <v>31.150203222528663</v>
      </c>
    </row>
    <row r="8" spans="1:19" ht="15" thickBot="1" x14ac:dyDescent="0.35">
      <c r="A8" s="1">
        <v>45</v>
      </c>
      <c r="B8" s="1">
        <v>0.45</v>
      </c>
      <c r="C8" s="1">
        <v>0.378</v>
      </c>
      <c r="D8" s="1">
        <f t="shared" si="0"/>
        <v>0.14288400000000001</v>
      </c>
      <c r="E8" s="1">
        <f t="shared" si="1"/>
        <v>30.895691609977323</v>
      </c>
    </row>
    <row r="9" spans="1:19" ht="15" thickBot="1" x14ac:dyDescent="0.35">
      <c r="A9" s="1">
        <v>55</v>
      </c>
      <c r="B9" s="1">
        <v>0.55000000000000004</v>
      </c>
      <c r="C9" s="1">
        <v>0.43099999999999999</v>
      </c>
      <c r="D9" s="1">
        <f t="shared" si="0"/>
        <v>0.18576099999999998</v>
      </c>
      <c r="E9" s="1">
        <f t="shared" si="1"/>
        <v>29.045386275913682</v>
      </c>
    </row>
    <row r="10" spans="1:19" ht="15" thickBot="1" x14ac:dyDescent="0.35">
      <c r="A10" s="1">
        <v>65</v>
      </c>
      <c r="B10" s="1">
        <v>0.65</v>
      </c>
      <c r="C10" s="1">
        <v>0.52100000000000002</v>
      </c>
      <c r="D10" s="1">
        <f>C10^2</f>
        <v>0.27144100000000004</v>
      </c>
      <c r="E10" s="1">
        <f t="shared" si="1"/>
        <v>23.491292767120658</v>
      </c>
    </row>
  </sheetData>
  <mergeCells count="1">
    <mergeCell ref="A1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Mikrometri</vt:lpstr>
      <vt:lpstr>Hedhja e pjerrët</vt:lpstr>
      <vt:lpstr>Ekuivalenti mekanik i nxehtesis</vt:lpstr>
      <vt:lpstr>Ligji i Hukut</vt:lpstr>
      <vt:lpstr>Termokapaciteti specifik</vt:lpstr>
      <vt:lpstr>Matja e gjatësisë me nonius</vt:lpstr>
      <vt:lpstr>Rënia e Lirë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2024-12-28T20:54:46Z</dcterms:created>
  <dcterms:modified xsi:type="dcterms:W3CDTF">2025-01-06T23:43:58Z</dcterms:modified>
</cp:coreProperties>
</file>