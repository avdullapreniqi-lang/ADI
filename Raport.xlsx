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0895174-6B3B-4FAC-AFAC-8C734FA927D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3" sheetId="3" r:id="rId2"/>
    <sheet name="Sheet2" sheetId="2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2" l="1"/>
  <c r="H3" i="2"/>
  <c r="H2" i="2"/>
  <c r="F3" i="2"/>
  <c r="I3" i="2" s="1"/>
  <c r="F4" i="2"/>
  <c r="I4" i="2" s="1"/>
  <c r="F5" i="2"/>
  <c r="I5" i="2" s="1"/>
  <c r="F6" i="2"/>
  <c r="G6" i="2" s="1"/>
  <c r="F2" i="2"/>
  <c r="I2" i="2" s="1"/>
  <c r="L6" i="1"/>
  <c r="G5" i="2" l="1"/>
  <c r="G4" i="2"/>
  <c r="G3" i="2"/>
  <c r="F7" i="2"/>
  <c r="F8" i="2"/>
  <c r="G2" i="2"/>
  <c r="G7" i="2" s="1"/>
  <c r="G8" i="2" s="1"/>
  <c r="F11" i="2"/>
  <c r="I6" i="2"/>
</calcChain>
</file>

<file path=xl/sharedStrings.xml><?xml version="1.0" encoding="utf-8"?>
<sst xmlns="http://schemas.openxmlformats.org/spreadsheetml/2006/main" count="54" uniqueCount="43">
  <si>
    <t>Nr.</t>
  </si>
  <si>
    <t>Emri i produktit</t>
  </si>
  <si>
    <t>Sasia</t>
  </si>
  <si>
    <t>Koha ndihmese [min]</t>
  </si>
  <si>
    <t>Koha kryesore [min]</t>
  </si>
  <si>
    <t>Kosto [euro/min]</t>
  </si>
  <si>
    <t>Kosto e makines [euro/min]</t>
  </si>
  <si>
    <t>Kosto e kohes ndihmse [euro/minut]</t>
  </si>
  <si>
    <t>Kg</t>
  </si>
  <si>
    <t>Kg [euro/min]</t>
  </si>
  <si>
    <t>mm2</t>
  </si>
  <si>
    <t>Ngjyrosja [mm2]</t>
  </si>
  <si>
    <t>euro/m2</t>
  </si>
  <si>
    <t>Kosto totale [euro]</t>
  </si>
  <si>
    <t>Data</t>
  </si>
  <si>
    <t xml:space="preserve">bulonat  </t>
  </si>
  <si>
    <t>Materiali</t>
  </si>
  <si>
    <t>Madhesia</t>
  </si>
  <si>
    <t xml:space="preserve">Operacioni </t>
  </si>
  <si>
    <t xml:space="preserve">Prerje me laser </t>
  </si>
  <si>
    <t xml:space="preserve">Sharritje </t>
  </si>
  <si>
    <t>Muaji</t>
  </si>
  <si>
    <t>Produkti</t>
  </si>
  <si>
    <t>Sasia e Shitur</t>
  </si>
  <si>
    <t>Çmimi për Njësi (€)</t>
  </si>
  <si>
    <t>Shpenzimet e Transportit (€)</t>
  </si>
  <si>
    <t>Shitjet Totale (€)</t>
  </si>
  <si>
    <t>Janar</t>
  </si>
  <si>
    <t>Karrige</t>
  </si>
  <si>
    <t>Shkurt</t>
  </si>
  <si>
    <t>Tavolinë</t>
  </si>
  <si>
    <t>Mars</t>
  </si>
  <si>
    <t>Shkallë</t>
  </si>
  <si>
    <t>Prill</t>
  </si>
  <si>
    <t>Raft</t>
  </si>
  <si>
    <t>Maj</t>
  </si>
  <si>
    <t xml:space="preserve">Te ardhurat totale </t>
  </si>
  <si>
    <t xml:space="preserve">Shuma </t>
  </si>
  <si>
    <t xml:space="preserve">Mesatarja </t>
  </si>
  <si>
    <t>Row Labels</t>
  </si>
  <si>
    <t>Grand Total</t>
  </si>
  <si>
    <t>Column Labels</t>
  </si>
  <si>
    <t>Sum of Çmimi për Njësi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</si>
</sst>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/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 applyAlignment="1">
      <alignment vertical="center" wrapText="1"/>
    </xf>
    <xf numFmtId="0" fontId="0" fillId="0" borderId="13" xfId="0" applyBorder="1"/>
    <xf numFmtId="0" fontId="0" fillId="0" borderId="14" xfId="0" applyBorder="1" applyAlignment="1">
      <alignment vertical="center" wrapText="1"/>
    </xf>
    <xf numFmtId="0" fontId="0" fillId="0" borderId="15" xfId="0" applyBorder="1"/>
    <xf numFmtId="0" fontId="0" fillId="0" borderId="16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Shitjet Totale (€)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Sheet2!$A$2:$A$6</c:f>
              <c:strCache>
                <c:ptCount val="5"/>
                <c:pt idx="0">
                  <c:v>Janar</c:v>
                </c:pt>
                <c:pt idx="1">
                  <c:v>Shkurt</c:v>
                </c:pt>
                <c:pt idx="2">
                  <c:v>Mars</c:v>
                </c:pt>
                <c:pt idx="3">
                  <c:v>Prill</c:v>
                </c:pt>
                <c:pt idx="4">
                  <c:v>Maj</c:v>
                </c:pt>
              </c:strCache>
            </c:strRef>
          </c:cat>
          <c:val>
            <c:numRef>
              <c:f>Sheet2!$F$2:$F$6</c:f>
              <c:numCache>
                <c:formatCode>General</c:formatCode>
                <c:ptCount val="5"/>
                <c:pt idx="0">
                  <c:v>3000</c:v>
                </c:pt>
                <c:pt idx="1">
                  <c:v>9000</c:v>
                </c:pt>
                <c:pt idx="2">
                  <c:v>2000</c:v>
                </c:pt>
                <c:pt idx="3">
                  <c:v>5400</c:v>
                </c:pt>
                <c:pt idx="4">
                  <c:v>2750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12-4A90-A746-03C3A5352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864160"/>
        <c:axId val="499863680"/>
      </c:lineChart>
      <c:catAx>
        <c:axId val="49986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863680"/>
        <c:crosses val="autoZero"/>
        <c:auto val="1"/>
        <c:lblAlgn val="ctr"/>
        <c:lblOffset val="100"/>
        <c:noMultiLvlLbl val="0"/>
      </c:catAx>
      <c:valAx>
        <c:axId val="49986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86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9486111111111112"/>
          <c:w val="0.8648635170603674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Shitjet Totale (€)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5"/>
                <c:pt idx="0">
                  <c:v>Janar</c:v>
                </c:pt>
                <c:pt idx="1">
                  <c:v>Shkurt</c:v>
                </c:pt>
                <c:pt idx="2">
                  <c:v>Mars</c:v>
                </c:pt>
                <c:pt idx="3">
                  <c:v>Prill</c:v>
                </c:pt>
                <c:pt idx="4">
                  <c:v>Maj</c:v>
                </c:pt>
              </c:strCache>
            </c:strRef>
          </c:cat>
          <c:val>
            <c:numRef>
              <c:f>Sheet2!$F$2:$F$6</c:f>
              <c:numCache>
                <c:formatCode>General</c:formatCode>
                <c:ptCount val="5"/>
                <c:pt idx="0">
                  <c:v>3000</c:v>
                </c:pt>
                <c:pt idx="1">
                  <c:v>9000</c:v>
                </c:pt>
                <c:pt idx="2">
                  <c:v>2000</c:v>
                </c:pt>
                <c:pt idx="3">
                  <c:v>5400</c:v>
                </c:pt>
                <c:pt idx="4">
                  <c:v>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7-4116-8F2A-A542D19AF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407376"/>
        <c:axId val="968407856"/>
      </c:barChart>
      <c:catAx>
        <c:axId val="96840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407856"/>
        <c:crosses val="autoZero"/>
        <c:auto val="1"/>
        <c:lblAlgn val="ctr"/>
        <c:lblOffset val="100"/>
        <c:noMultiLvlLbl val="0"/>
      </c:catAx>
      <c:valAx>
        <c:axId val="96840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40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198120</xdr:colOff>
      <xdr:row>5</xdr:row>
      <xdr:rowOff>148590</xdr:rowOff>
    </xdr:from>
    <xdr:to>
      <xdr:col>16</xdr:col>
      <xdr:colOff>502920</xdr:colOff>
      <xdr:row>20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5B831F-57BA-9C32-AAE8-BCE1C0764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274320</xdr:colOff>
      <xdr:row>7</xdr:row>
      <xdr:rowOff>34290</xdr:rowOff>
    </xdr:from>
    <xdr:to>
      <xdr:col>9</xdr:col>
      <xdr:colOff>297180</xdr:colOff>
      <xdr:row>22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DDB66A-E4BD-26E0-1D90-CB3F52120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667.612273032406" createdVersion="8" refreshedVersion="8" minRefreshableVersion="3" recordCount="5" xr:uid="{9FD8A60E-BD68-40F4-95DE-359A0A71C25D}">
  <cacheSource type="worksheet">
    <worksheetSource ref="A1:G6" sheet="Sheet2"/>
  </cacheSource>
  <cacheFields count="7">
    <cacheField name="Muaji" numFmtId="0">
      <sharedItems count="5">
        <s v="Janar"/>
        <s v="Shkurt"/>
        <s v="Mars"/>
        <s v="Prill"/>
        <s v="Maj"/>
      </sharedItems>
    </cacheField>
    <cacheField name="Produkti" numFmtId="0">
      <sharedItems count="4">
        <s v="Karrige"/>
        <s v="Tavolinë"/>
        <s v="Shkallë"/>
        <s v="Raft"/>
      </sharedItems>
    </cacheField>
    <cacheField name="Sasia e Shitur" numFmtId="0">
      <sharedItems containsSemiMixedTypes="0" containsString="0" containsNumber="1" containsInteger="1" minValue="50" maxValue="120"/>
    </cacheField>
    <cacheField name="Çmimi për Njësi (€)" numFmtId="0">
      <sharedItems containsSemiMixedTypes="0" containsString="0" containsNumber="1" containsInteger="1" minValue="25" maxValue="120" count="4">
        <n v="25"/>
        <n v="120"/>
        <n v="40"/>
        <n v="60"/>
      </sharedItems>
    </cacheField>
    <cacheField name="Shpenzimet e Transportit (€)" numFmtId="0">
      <sharedItems containsSemiMixedTypes="0" containsString="0" containsNumber="1" containsInteger="1" minValue="30" maxValue="80"/>
    </cacheField>
    <cacheField name="Shitjet Totale (€)" numFmtId="0">
      <sharedItems containsSemiMixedTypes="0" containsString="0" containsNumber="1" containsInteger="1" minValue="2000" maxValue="9000"/>
    </cacheField>
    <cacheField name="Te ardhurat totale " numFmtId="0">
      <sharedItems containsSemiMixedTypes="0" containsString="0" containsNumber="1" containsInteger="1" minValue="2030" maxValue="90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20"/>
    <x v="0"/>
    <n v="50"/>
    <n v="3000"/>
    <n v="3050"/>
  </r>
  <r>
    <x v="1"/>
    <x v="1"/>
    <n v="75"/>
    <x v="1"/>
    <n v="80"/>
    <n v="9000"/>
    <n v="9080"/>
  </r>
  <r>
    <x v="2"/>
    <x v="2"/>
    <n v="50"/>
    <x v="2"/>
    <n v="30"/>
    <n v="2000"/>
    <n v="2030"/>
  </r>
  <r>
    <x v="3"/>
    <x v="3"/>
    <n v="90"/>
    <x v="3"/>
    <n v="40"/>
    <n v="5400"/>
    <n v="5440"/>
  </r>
  <r>
    <x v="4"/>
    <x v="0"/>
    <n v="110"/>
    <x v="0"/>
    <n v="60"/>
    <n v="2750"/>
    <n v="28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A7D28-3B17-46AA-BAA6-9F26B7253EE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7">
    <pivotField axis="axisRow" showAll="0">
      <items count="6">
        <item x="0"/>
        <item x="4"/>
        <item x="2"/>
        <item x="3"/>
        <item x="1"/>
        <item t="default"/>
      </items>
    </pivotField>
    <pivotField axis="axisCol" showAll="0">
      <items count="5">
        <item x="0"/>
        <item x="3"/>
        <item x="2"/>
        <item x="1"/>
        <item t="default"/>
      </items>
    </pivotField>
    <pivotField showAll="0"/>
    <pivotField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Çmimi për Njësi (€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workbookViewId="0">
      <selection activeCell="G5" sqref="G5"/>
    </sheetView>
  </sheetViews>
  <sheetFormatPr defaultRowHeight="14.4" x14ac:dyDescent="0.3"/>
  <cols>
    <col min="5" max="6" width="15.44140625" customWidth="1"/>
    <col min="8" max="8" width="14.88671875" customWidth="1"/>
    <col min="9" max="9" width="14.21875" customWidth="1"/>
    <col min="10" max="10" width="14.77734375" customWidth="1"/>
    <col min="11" max="11" width="17.6640625" customWidth="1"/>
    <col min="12" max="12" width="23.33203125" customWidth="1"/>
    <col min="20" max="20" width="17.33203125" customWidth="1"/>
  </cols>
  <sheetData>
    <row r="1" spans="1:20" x14ac:dyDescent="0.3">
      <c r="A1" t="s">
        <v>14</v>
      </c>
      <c r="B1" t="s">
        <v>17</v>
      </c>
      <c r="C1" t="s">
        <v>16</v>
      </c>
      <c r="D1" t="s">
        <v>0</v>
      </c>
      <c r="E1" t="s">
        <v>1</v>
      </c>
      <c r="F1" t="s">
        <v>18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P1" t="s">
        <v>10</v>
      </c>
      <c r="Q1" t="s">
        <v>11</v>
      </c>
      <c r="S1" t="s">
        <v>12</v>
      </c>
      <c r="T1" t="s">
        <v>13</v>
      </c>
    </row>
    <row r="2" spans="1:20" x14ac:dyDescent="0.3">
      <c r="F2" t="s">
        <v>19</v>
      </c>
    </row>
    <row r="3" spans="1:20" x14ac:dyDescent="0.3">
      <c r="F3" t="s">
        <v>20</v>
      </c>
    </row>
    <row r="6" spans="1:20" x14ac:dyDescent="0.3">
      <c r="C6" s="1"/>
      <c r="D6" s="1">
        <v>1</v>
      </c>
      <c r="E6" s="1" t="s">
        <v>15</v>
      </c>
      <c r="F6" s="1"/>
      <c r="G6" s="1">
        <v>5</v>
      </c>
      <c r="H6" s="1">
        <v>2</v>
      </c>
      <c r="I6" s="1">
        <v>5</v>
      </c>
      <c r="J6" s="1"/>
      <c r="K6" s="1"/>
      <c r="L6" s="1">
        <f>3/60</f>
        <v>0.05</v>
      </c>
      <c r="M6" s="1"/>
      <c r="N6" s="1"/>
      <c r="O6" s="1"/>
      <c r="P6" s="1"/>
      <c r="Q6" s="1"/>
      <c r="R6" s="1"/>
      <c r="S6" s="1"/>
      <c r="T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AE4A9-BF76-489F-B51D-0239B64A0AF8}">
  <dimension ref="A3:F10"/>
  <sheetViews>
    <sheetView workbookViewId="0">
      <selection activeCell="F16" sqref="F16"/>
    </sheetView>
  </sheetViews>
  <sheetFormatPr defaultRowHeight="14.4" x14ac:dyDescent="0.3"/>
  <cols>
    <col min="1" max="1" width="23.6640625" bestFit="1" customWidth="1"/>
    <col min="2" max="2" width="15.5546875" bestFit="1" customWidth="1"/>
    <col min="3" max="3" width="4.44140625" bestFit="1" customWidth="1"/>
    <col min="4" max="4" width="7" bestFit="1" customWidth="1"/>
    <col min="5" max="5" width="8.109375" bestFit="1" customWidth="1"/>
    <col min="6" max="6" width="10.77734375" bestFit="1" customWidth="1"/>
  </cols>
  <sheetData>
    <row r="3" spans="1:6" x14ac:dyDescent="0.3">
      <c r="A3" s="19" t="s">
        <v>42</v>
      </c>
      <c r="B3" s="19" t="s">
        <v>41</v>
      </c>
    </row>
    <row r="4" spans="1:6" x14ac:dyDescent="0.3">
      <c r="A4" s="19" t="s">
        <v>39</v>
      </c>
      <c r="B4" t="s">
        <v>28</v>
      </c>
      <c r="C4" t="s">
        <v>34</v>
      </c>
      <c r="D4" t="s">
        <v>32</v>
      </c>
      <c r="E4" t="s">
        <v>30</v>
      </c>
      <c r="F4" t="s">
        <v>40</v>
      </c>
    </row>
    <row r="5" spans="1:6" x14ac:dyDescent="0.3">
      <c r="A5" s="20" t="s">
        <v>27</v>
      </c>
      <c r="B5">
        <v>25</v>
      </c>
      <c r="F5">
        <v>25</v>
      </c>
    </row>
    <row r="6" spans="1:6" x14ac:dyDescent="0.3">
      <c r="A6" s="20" t="s">
        <v>35</v>
      </c>
      <c r="B6">
        <v>25</v>
      </c>
      <c r="F6">
        <v>25</v>
      </c>
    </row>
    <row r="7" spans="1:6" x14ac:dyDescent="0.3">
      <c r="A7" s="20" t="s">
        <v>31</v>
      </c>
      <c r="D7">
        <v>40</v>
      </c>
      <c r="F7">
        <v>40</v>
      </c>
    </row>
    <row r="8" spans="1:6" x14ac:dyDescent="0.3">
      <c r="A8" s="20" t="s">
        <v>33</v>
      </c>
      <c r="C8">
        <v>60</v>
      </c>
      <c r="F8">
        <v>60</v>
      </c>
    </row>
    <row r="9" spans="1:6" x14ac:dyDescent="0.3">
      <c r="A9" s="20" t="s">
        <v>29</v>
      </c>
      <c r="E9">
        <v>120</v>
      </c>
      <c r="F9">
        <v>120</v>
      </c>
    </row>
    <row r="10" spans="1:6" x14ac:dyDescent="0.3">
      <c r="A10" s="20" t="s">
        <v>40</v>
      </c>
      <c r="B10">
        <v>50</v>
      </c>
      <c r="C10">
        <v>60</v>
      </c>
      <c r="D10">
        <v>40</v>
      </c>
      <c r="E10">
        <v>120</v>
      </c>
      <c r="F10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04C1-00DD-463F-8F17-9542BA7121F9}">
  <dimension ref="A1:M11"/>
  <sheetViews>
    <sheetView tabSelected="1" workbookViewId="0">
      <selection activeCell="U3" sqref="U3"/>
    </sheetView>
  </sheetViews>
  <sheetFormatPr defaultRowHeight="14.4" x14ac:dyDescent="0.3"/>
  <cols>
    <col min="7" max="7" width="13" customWidth="1"/>
  </cols>
  <sheetData>
    <row r="1" spans="1:13" ht="58.2" thickBot="1" x14ac:dyDescent="0.35">
      <c r="A1" s="10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2" t="s">
        <v>36</v>
      </c>
    </row>
    <row r="2" spans="1:13" x14ac:dyDescent="0.3">
      <c r="A2" s="8" t="s">
        <v>27</v>
      </c>
      <c r="B2" s="3" t="s">
        <v>28</v>
      </c>
      <c r="C2" s="3">
        <v>120</v>
      </c>
      <c r="D2" s="3">
        <v>25</v>
      </c>
      <c r="E2" s="3">
        <v>50</v>
      </c>
      <c r="F2" s="3">
        <f>C2*D2</f>
        <v>3000</v>
      </c>
      <c r="G2" s="9">
        <f>F2+E2</f>
        <v>3050</v>
      </c>
      <c r="H2">
        <f>SUMIF(B2:B6,"Raft",E2:E6)</f>
        <v>40</v>
      </c>
      <c r="I2" t="str">
        <f>IF(F2&gt;5000,"shitje te larta","shitje te ulta")</f>
        <v>shitje te ulta</v>
      </c>
    </row>
    <row r="3" spans="1:13" x14ac:dyDescent="0.3">
      <c r="A3" s="4" t="s">
        <v>29</v>
      </c>
      <c r="B3" s="2" t="s">
        <v>30</v>
      </c>
      <c r="C3" s="2">
        <v>75</v>
      </c>
      <c r="D3" s="2">
        <v>120</v>
      </c>
      <c r="E3" s="2">
        <v>80</v>
      </c>
      <c r="F3" s="2">
        <f>C3*D3</f>
        <v>9000</v>
      </c>
      <c r="G3" s="5">
        <f t="shared" ref="G3:G6" si="0">F3+E3</f>
        <v>9080</v>
      </c>
      <c r="H3">
        <f>COUNTIF(B2:B6,"karrige")</f>
        <v>2</v>
      </c>
      <c r="I3" t="str">
        <f t="shared" ref="I3:I6" si="1">IF(F3&gt;5000,"shitje te larta","shitje te ulta")</f>
        <v>shitje te larta</v>
      </c>
      <c r="M3">
        <v>56.552650999999997</v>
      </c>
    </row>
    <row r="4" spans="1:13" x14ac:dyDescent="0.3">
      <c r="A4" s="4" t="s">
        <v>31</v>
      </c>
      <c r="B4" s="2" t="s">
        <v>32</v>
      </c>
      <c r="C4" s="2">
        <v>50</v>
      </c>
      <c r="D4" s="2">
        <v>40</v>
      </c>
      <c r="E4" s="2">
        <v>30</v>
      </c>
      <c r="F4" s="2">
        <f>C4*D4</f>
        <v>2000</v>
      </c>
      <c r="G4" s="5">
        <f t="shared" si="0"/>
        <v>2030</v>
      </c>
      <c r="I4" t="str">
        <f t="shared" si="1"/>
        <v>shitje te ulta</v>
      </c>
    </row>
    <row r="5" spans="1:13" x14ac:dyDescent="0.3">
      <c r="A5" s="4" t="s">
        <v>33</v>
      </c>
      <c r="B5" s="2" t="s">
        <v>34</v>
      </c>
      <c r="C5" s="2">
        <v>90</v>
      </c>
      <c r="D5" s="2">
        <v>60</v>
      </c>
      <c r="E5" s="2">
        <v>40</v>
      </c>
      <c r="F5" s="2">
        <f>C5*D5</f>
        <v>5400</v>
      </c>
      <c r="G5" s="5">
        <f t="shared" si="0"/>
        <v>5440</v>
      </c>
      <c r="I5" t="str">
        <f t="shared" si="1"/>
        <v>shitje te larta</v>
      </c>
    </row>
    <row r="6" spans="1:13" ht="15" thickBot="1" x14ac:dyDescent="0.35">
      <c r="A6" s="6" t="s">
        <v>35</v>
      </c>
      <c r="B6" s="7" t="s">
        <v>28</v>
      </c>
      <c r="C6" s="7">
        <v>110</v>
      </c>
      <c r="D6" s="7">
        <v>25</v>
      </c>
      <c r="E6" s="14">
        <v>60</v>
      </c>
      <c r="F6" s="14">
        <f>C6*D6</f>
        <v>2750</v>
      </c>
      <c r="G6" s="15">
        <f t="shared" si="0"/>
        <v>2810</v>
      </c>
      <c r="I6" t="str">
        <f t="shared" si="1"/>
        <v>shitje te ulta</v>
      </c>
    </row>
    <row r="7" spans="1:13" ht="15" thickBot="1" x14ac:dyDescent="0.35">
      <c r="E7" s="17" t="s">
        <v>37</v>
      </c>
      <c r="F7" s="16">
        <f>SUM(F2:F6)</f>
        <v>22150</v>
      </c>
      <c r="G7" s="13">
        <f>SUM(G2:G6)</f>
        <v>22410</v>
      </c>
    </row>
    <row r="8" spans="1:13" ht="15" thickBot="1" x14ac:dyDescent="0.35">
      <c r="E8" s="18" t="s">
        <v>38</v>
      </c>
      <c r="F8" s="16">
        <f>AVERAGE(F2:F6)</f>
        <v>4430</v>
      </c>
      <c r="G8" s="13">
        <f>AVERAGE(G2:G7)</f>
        <v>7470</v>
      </c>
      <c r="K8">
        <f>ROUND(M3,2)</f>
        <v>56.55</v>
      </c>
    </row>
    <row r="11" spans="1:13" x14ac:dyDescent="0.3">
      <c r="F11" t="str">
        <f>IF(F2&gt;5000,"shitje te larta","shitje te ulta")</f>
        <v>shitje te ulta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2025-01-10T14:12:51Z</dcterms:modified>
</cp:coreProperties>
</file>